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ujal\Dropbox\Atlas\TrioInnovate\Pricing\"/>
    </mc:Choice>
  </mc:AlternateContent>
  <xr:revisionPtr revIDLastSave="0" documentId="13_ncr:1_{182E7CD6-1302-4DB1-ABAE-07707F139551}" xr6:coauthVersionLast="47" xr6:coauthVersionMax="47" xr10:uidLastSave="{00000000-0000-0000-0000-000000000000}"/>
  <bookViews>
    <workbookView xWindow="-120" yWindow="-120" windowWidth="29040" windowHeight="15720" tabRatio="792" firstSheet="1" activeTab="1" xr2:uid="{00000000-000D-0000-FFFF-FFFF00000000}"/>
  </bookViews>
  <sheets>
    <sheet name="README" sheetId="1" r:id="rId1"/>
    <sheet name="Assumptions" sheetId="2" r:id="rId2"/>
    <sheet name="Price List" sheetId="3" r:id="rId3"/>
    <sheet name="Subscription Scope" sheetId="4" r:id="rId4"/>
    <sheet name="Payment Economics" sheetId="5" r:id="rId5"/>
    <sheet name="1-on-1 Tutoring" sheetId="6" r:id="rId6"/>
    <sheet name="Lesson Packages" sheetId="7" r:id="rId7"/>
    <sheet name="Group Classes" sheetId="8" r:id="rId8"/>
    <sheet name="Courses" sheetId="9" r:id="rId9"/>
    <sheet name="Subscription" sheetId="10" r:id="rId10"/>
    <sheet name="Books &amp; Authors" sheetId="11" r:id="rId11"/>
    <sheet name="Take Rate Compare" sheetId="12" r:id="rId12"/>
    <sheet name="Benchmarks" sheetId="13" r:id="rId13"/>
    <sheet name="Refunds &amp; Payouts" sheetId="14" r:id="rId14"/>
    <sheet name="Change Log" sheetId="15" r:id="rId15"/>
    <sheet name="Action Item" sheetId="16" r:id="rId16"/>
  </sheets>
  <definedNames>
    <definedName name="_xlnm._FilterDatabase" localSheetId="15" hidden="1">'Action Item'!$B$6:$H$16</definedName>
    <definedName name="Location" localSheetId="15">#REF!</definedName>
    <definedName name="Location">#REF!</definedName>
    <definedName name="Portfolios" localSheetId="15">#REF!</definedName>
    <definedName name="Portfolios">#REF!</definedName>
    <definedName name="UST_Project_ID" localSheetId="15">#REF!</definedName>
    <definedName name="UST_Project_ID">#REF!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5" i="16" l="1"/>
  <c r="G4" i="16"/>
  <c r="G3" i="16"/>
  <c r="G2" i="16"/>
  <c r="G1" i="16"/>
  <c r="B28" i="12"/>
  <c r="B27" i="12"/>
  <c r="B26" i="12"/>
  <c r="B25" i="12"/>
  <c r="B24" i="12"/>
  <c r="B23" i="12"/>
  <c r="B21" i="12"/>
  <c r="B20" i="12"/>
  <c r="B19" i="12"/>
  <c r="D14" i="12"/>
  <c r="C12" i="12"/>
  <c r="B6" i="12"/>
  <c r="B9" i="11"/>
  <c r="C48" i="10"/>
  <c r="B48" i="10"/>
  <c r="B49" i="10" s="1"/>
  <c r="C47" i="10"/>
  <c r="D47" i="10" s="1"/>
  <c r="B47" i="10"/>
  <c r="B41" i="10"/>
  <c r="C41" i="10" s="1"/>
  <c r="B40" i="10"/>
  <c r="C40" i="10" s="1"/>
  <c r="B39" i="10"/>
  <c r="C39" i="10" s="1"/>
  <c r="C38" i="10"/>
  <c r="B38" i="10"/>
  <c r="B24" i="10"/>
  <c r="C23" i="10"/>
  <c r="C22" i="10"/>
  <c r="C20" i="10"/>
  <c r="B7" i="10"/>
  <c r="B6" i="10"/>
  <c r="B10" i="10" s="1"/>
  <c r="B11" i="10" s="1"/>
  <c r="C11" i="9"/>
  <c r="B11" i="9"/>
  <c r="B10" i="9"/>
  <c r="C10" i="9" s="1"/>
  <c r="B9" i="9"/>
  <c r="C9" i="9" s="1"/>
  <c r="B8" i="9"/>
  <c r="C8" i="9" s="1"/>
  <c r="B4" i="9"/>
  <c r="B18" i="8"/>
  <c r="C18" i="8" s="1"/>
  <c r="B17" i="8"/>
  <c r="B16" i="8"/>
  <c r="B15" i="8"/>
  <c r="C15" i="8" s="1"/>
  <c r="B14" i="8"/>
  <c r="B13" i="8"/>
  <c r="C13" i="8" s="1"/>
  <c r="B12" i="8"/>
  <c r="C12" i="8" s="1"/>
  <c r="B11" i="8"/>
  <c r="B10" i="8"/>
  <c r="C10" i="8" s="1"/>
  <c r="B9" i="8"/>
  <c r="E40" i="7"/>
  <c r="D40" i="7"/>
  <c r="C40" i="7"/>
  <c r="D39" i="7"/>
  <c r="C39" i="7"/>
  <c r="D38" i="7"/>
  <c r="C38" i="7"/>
  <c r="D37" i="7"/>
  <c r="C37" i="7"/>
  <c r="B34" i="7"/>
  <c r="B37" i="7" s="1"/>
  <c r="B33" i="7"/>
  <c r="E38" i="7" s="1"/>
  <c r="B28" i="7"/>
  <c r="B26" i="7"/>
  <c r="C10" i="7"/>
  <c r="B10" i="7"/>
  <c r="C9" i="7"/>
  <c r="B9" i="7"/>
  <c r="C8" i="7"/>
  <c r="C11" i="7" s="1"/>
  <c r="B8" i="7"/>
  <c r="B11" i="7" s="1"/>
  <c r="B13" i="7" s="1"/>
  <c r="B5" i="7"/>
  <c r="C24" i="6"/>
  <c r="B24" i="6"/>
  <c r="C23" i="6"/>
  <c r="D23" i="6" s="1"/>
  <c r="B23" i="6"/>
  <c r="C22" i="6"/>
  <c r="B22" i="6"/>
  <c r="C21" i="6"/>
  <c r="B21" i="6"/>
  <c r="B18" i="6"/>
  <c r="B12" i="5"/>
  <c r="B11" i="5"/>
  <c r="B10" i="5"/>
  <c r="B9" i="5"/>
  <c r="B8" i="5"/>
  <c r="B7" i="5"/>
  <c r="B6" i="5"/>
  <c r="B5" i="5"/>
  <c r="B9" i="3"/>
  <c r="B78" i="2"/>
  <c r="B75" i="2"/>
  <c r="B74" i="2"/>
  <c r="B76" i="2" s="1"/>
  <c r="B49" i="2"/>
  <c r="C14" i="12" s="1"/>
  <c r="C34" i="2"/>
  <c r="B18" i="5" s="1"/>
  <c r="B34" i="2"/>
  <c r="D12" i="12" s="1"/>
  <c r="C24" i="2"/>
  <c r="C26" i="2" s="1"/>
  <c r="B24" i="2"/>
  <c r="B13" i="2"/>
  <c r="C25" i="2" s="1"/>
  <c r="E18" i="8" l="1"/>
  <c r="D18" i="8"/>
  <c r="F18" i="8" s="1"/>
  <c r="D13" i="8"/>
  <c r="F13" i="8" s="1"/>
  <c r="E13" i="8"/>
  <c r="E10" i="8"/>
  <c r="D10" i="8"/>
  <c r="F10" i="8" s="1"/>
  <c r="C9" i="3"/>
  <c r="D9" i="3" s="1"/>
  <c r="E9" i="3" s="1"/>
  <c r="E12" i="8"/>
  <c r="D12" i="8"/>
  <c r="F12" i="8" s="1"/>
  <c r="C13" i="7"/>
  <c r="D13" i="7" s="1"/>
  <c r="D11" i="7"/>
  <c r="C14" i="7"/>
  <c r="C17" i="7"/>
  <c r="C12" i="7"/>
  <c r="D12" i="7" s="1"/>
  <c r="E15" i="8"/>
  <c r="D15" i="8"/>
  <c r="F15" i="8" s="1"/>
  <c r="C17" i="8"/>
  <c r="B12" i="7"/>
  <c r="E23" i="6"/>
  <c r="B17" i="7"/>
  <c r="B14" i="7"/>
  <c r="B12" i="10"/>
  <c r="B13" i="10" s="1"/>
  <c r="B12" i="12"/>
  <c r="C49" i="10"/>
  <c r="D49" i="10" s="1"/>
  <c r="D48" i="10"/>
  <c r="B25" i="2"/>
  <c r="B41" i="7"/>
  <c r="B14" i="10"/>
  <c r="B5" i="9"/>
  <c r="B17" i="5"/>
  <c r="F23" i="6"/>
  <c r="G23" i="6" s="1"/>
  <c r="D22" i="6"/>
  <c r="C11" i="8"/>
  <c r="D24" i="6"/>
  <c r="C9" i="8"/>
  <c r="C16" i="8"/>
  <c r="B14" i="12"/>
  <c r="B40" i="7"/>
  <c r="B38" i="7"/>
  <c r="D21" i="6"/>
  <c r="E39" i="7"/>
  <c r="E37" i="7"/>
  <c r="B39" i="7"/>
  <c r="C14" i="8"/>
  <c r="C21" i="10"/>
  <c r="B15" i="10" l="1"/>
  <c r="D14" i="8"/>
  <c r="F14" i="8" s="1"/>
  <c r="E14" i="8"/>
  <c r="E11" i="8"/>
  <c r="D11" i="8"/>
  <c r="F11" i="8" s="1"/>
  <c r="F22" i="6"/>
  <c r="G22" i="6" s="1"/>
  <c r="E22" i="6"/>
  <c r="B7" i="12"/>
  <c r="C8" i="3"/>
  <c r="D8" i="3" s="1"/>
  <c r="E8" i="3" s="1"/>
  <c r="C10" i="3"/>
  <c r="D10" i="3" s="1"/>
  <c r="E10" i="3" s="1"/>
  <c r="C5" i="3"/>
  <c r="D5" i="3" s="1"/>
  <c r="E5" i="3" s="1"/>
  <c r="B84" i="2"/>
  <c r="C84" i="2" s="1"/>
  <c r="D84" i="2" s="1"/>
  <c r="B102" i="2"/>
  <c r="C9" i="11"/>
  <c r="C13" i="3"/>
  <c r="D13" i="3" s="1"/>
  <c r="E13" i="3" s="1"/>
  <c r="C11" i="5"/>
  <c r="D11" i="5" s="1"/>
  <c r="E11" i="5" s="1"/>
  <c r="B83" i="2"/>
  <c r="C83" i="2" s="1"/>
  <c r="D83" i="2" s="1"/>
  <c r="C8" i="5"/>
  <c r="D8" i="5" s="1"/>
  <c r="E8" i="5" s="1"/>
  <c r="C5" i="5"/>
  <c r="D5" i="5" s="1"/>
  <c r="E5" i="5" s="1"/>
  <c r="C12" i="3"/>
  <c r="D12" i="3" s="1"/>
  <c r="E12" i="3" s="1"/>
  <c r="C7" i="5"/>
  <c r="D7" i="5" s="1"/>
  <c r="E7" i="5" s="1"/>
  <c r="C12" i="5"/>
  <c r="D12" i="5" s="1"/>
  <c r="E12" i="5" s="1"/>
  <c r="C9" i="5"/>
  <c r="D9" i="5" s="1"/>
  <c r="E9" i="5" s="1"/>
  <c r="B16" i="5"/>
  <c r="C7" i="3"/>
  <c r="D7" i="3" s="1"/>
  <c r="E7" i="3" s="1"/>
  <c r="B82" i="2"/>
  <c r="C82" i="2" s="1"/>
  <c r="D82" i="2" s="1"/>
  <c r="C10" i="5"/>
  <c r="D10" i="5" s="1"/>
  <c r="E10" i="5" s="1"/>
  <c r="B85" i="2"/>
  <c r="C85" i="2" s="1"/>
  <c r="D85" i="2" s="1"/>
  <c r="C6" i="3"/>
  <c r="B19" i="5"/>
  <c r="C6" i="5"/>
  <c r="D6" i="5" s="1"/>
  <c r="E6" i="5" s="1"/>
  <c r="B103" i="2"/>
  <c r="B26" i="2"/>
  <c r="D17" i="7"/>
  <c r="D16" i="8"/>
  <c r="F16" i="8" s="1"/>
  <c r="E16" i="8"/>
  <c r="B16" i="7"/>
  <c r="B18" i="7" s="1"/>
  <c r="B15" i="7"/>
  <c r="C16" i="7"/>
  <c r="C15" i="7"/>
  <c r="D14" i="7"/>
  <c r="E9" i="8"/>
  <c r="D17" i="5" s="1"/>
  <c r="E17" i="5" s="1"/>
  <c r="D9" i="8"/>
  <c r="F9" i="8" s="1"/>
  <c r="E21" i="6"/>
  <c r="F21" i="6"/>
  <c r="F24" i="6"/>
  <c r="G24" i="6" s="1"/>
  <c r="E24" i="6"/>
  <c r="D9" i="9"/>
  <c r="E10" i="9"/>
  <c r="F10" i="9" s="1"/>
  <c r="E11" i="9"/>
  <c r="F11" i="9" s="1"/>
  <c r="E9" i="9"/>
  <c r="F9" i="9" s="1"/>
  <c r="D19" i="5" s="1"/>
  <c r="E19" i="5" s="1"/>
  <c r="D11" i="9"/>
  <c r="E8" i="9"/>
  <c r="F8" i="9" s="1"/>
  <c r="D16" i="5" s="1"/>
  <c r="E16" i="5" s="1"/>
  <c r="D10" i="9"/>
  <c r="D8" i="9"/>
  <c r="E17" i="8"/>
  <c r="D17" i="8"/>
  <c r="F17" i="8" s="1"/>
  <c r="B29" i="4" l="1"/>
  <c r="D6" i="3"/>
  <c r="E6" i="3" s="1"/>
  <c r="E9" i="11"/>
  <c r="D9" i="11"/>
  <c r="B15" i="11" s="1"/>
  <c r="D18" i="5"/>
  <c r="E18" i="5" s="1"/>
  <c r="G21" i="6"/>
  <c r="D20" i="10"/>
  <c r="D24" i="10" s="1"/>
  <c r="D21" i="10"/>
  <c r="D23" i="10"/>
  <c r="D22" i="10"/>
  <c r="B26" i="10"/>
  <c r="B30" i="4" s="1"/>
  <c r="C18" i="7"/>
  <c r="D18" i="7" s="1"/>
  <c r="D16" i="7"/>
  <c r="D15" i="7"/>
  <c r="B11" i="12"/>
  <c r="B13" i="12" s="1"/>
  <c r="B15" i="12" s="1"/>
  <c r="C11" i="12"/>
  <c r="C13" i="12" s="1"/>
  <c r="C15" i="12" s="1"/>
  <c r="D11" i="12"/>
  <c r="D13" i="12" s="1"/>
  <c r="D15" i="12" s="1"/>
  <c r="B16" i="10"/>
  <c r="B32" i="4" l="1"/>
  <c r="B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6" authorId="0" shapeId="0" xr:uid="{00000000-0006-0000-0F00-000001000000}">
      <text>
        <r>
          <rPr>
            <sz val="10"/>
            <rFont val="Arial"/>
            <family val="2"/>
          </rPr>
          <t xml:space="preserve">Latest at top. </t>
        </r>
      </text>
    </comment>
  </commentList>
</comments>
</file>

<file path=xl/sharedStrings.xml><?xml version="1.0" encoding="utf-8"?>
<sst xmlns="http://schemas.openxmlformats.org/spreadsheetml/2006/main" count="1003" uniqueCount="860">
  <si>
    <t>TrioEdX — Pricing &amp; Revenue-Share Model  v5</t>
  </si>
  <si>
    <t>Single global price, splits on Net Revenue. v5 simplifies books, flattens tier 3 to 17%, and rewrites the break-even block.</t>
  </si>
  <si>
    <t>WHAT CHANGED IN v3</t>
  </si>
  <si>
    <t>1. Subscription scope</t>
  </si>
  <si>
    <t>All-access now explicitly covers self-paced catalogue courses ONLY. Certificates, degree</t>
  </si>
  <si>
    <t>courses, group cohorts and 1-on-1 are excluded and sold separately. Inclusion is opt-in per</t>
  </si>
  <si>
    <t>course. See 'Subscription Scope'.</t>
  </si>
  <si>
    <t>2. Course referral rate</t>
  </si>
  <si>
    <t>Raised from 15% to 18% (Assumptions). Now clears cost at every price on the list.</t>
  </si>
  <si>
    <t>3. Tutoring tier 3</t>
  </si>
  <si>
    <t>Tier 3 is a FLAT 17% from v5. The $18/hr floor and the 20% below-floor branch are retired — see 'Change Log'.</t>
  </si>
  <si>
    <t>4. Revenue basis</t>
  </si>
  <si>
    <t>Prices are tax-inclusive. Every split is computed on NET REVENUE = gross less tax less</t>
  </si>
  <si>
    <t>processing — not on the gross price. This is the biggest structural change; see below.</t>
  </si>
  <si>
    <t>5. Coupon funding</t>
  </si>
  <si>
    <t>The platform fee is charged on the PRE-discount amount, so an instructor funds their own</t>
  </si>
  <si>
    <t>discount as the rule always intended.</t>
  </si>
  <si>
    <t>6. Group class top-up</t>
  </si>
  <si>
    <t>NOT implemented, by decision. The no-minimum risk stands unmitigated — logged on the</t>
  </si>
  <si>
    <t>Group Classes tab as an accepted open risk so it is not lost.</t>
  </si>
  <si>
    <t>Lesson packages</t>
  </si>
  <si>
    <t>Added. Two options only: pay-as-you-go, and a 10-hour pack at 5% off.</t>
  </si>
  <si>
    <t>WHAT THE NET REVENUE BASIS MEANS</t>
  </si>
  <si>
    <t>Tax and payment processing come off the top, before anyone's share is calculated. Whatever</t>
  </si>
  <si>
    <t>is left is Net Revenue, and that is what gets split.</t>
  </si>
  <si>
    <t>Instructors earn less than under the old gross-price basis — on a $79 organic sale, $34.33</t>
  </si>
  <si>
    <t>instead of $39.50. That is correct: tax was never anyone's revenue to share. But it is a real</t>
  </si>
  <si>
    <t>change and it must be explained in the instructor agreement before anyone signs.</t>
  </si>
  <si>
    <t>It also means the platform no longer absorbs processing alone — it is shared in proportion.</t>
  </si>
  <si>
    <t>This is the same shape as the pass-through structure, and it is what Tutor LMS supports</t>
  </si>
  <si>
    <t>natively via its Fees setting, which makes it cheaper to build as well as fairer.</t>
  </si>
  <si>
    <t>TABS</t>
  </si>
  <si>
    <t>Assumptions</t>
  </si>
  <si>
    <t>Payment rates, tax basis, cost stack, take-rate levers. Start here.</t>
  </si>
  <si>
    <t>Price List</t>
  </si>
  <si>
    <t>One price per product.</t>
  </si>
  <si>
    <t>Subscription Scope</t>
  </si>
  <si>
    <t>NEW. What all-access includes and excludes, and the opt-in mechanic.</t>
  </si>
  <si>
    <t>Payment Economics</t>
  </si>
  <si>
    <t>Cost per ticket and minimum viable price at each take rate.</t>
  </si>
  <si>
    <t>1-on-1 Tutoring</t>
  </si>
  <si>
    <t>Rate bands, the conditional tier-3 floor, and the full waterfall.</t>
  </si>
  <si>
    <t>Lesson Packages</t>
  </si>
  <si>
    <t>NEW. Pay-as-you-go vs the 10-hour pack, plus the three rules packages need.</t>
  </si>
  <si>
    <t>Group Classes</t>
  </si>
  <si>
    <t>Cohort economics. No-minimum risk logged as accepted.</t>
  </si>
  <si>
    <t>Courses</t>
  </si>
  <si>
    <t>Four channels at the new 18% referral rate, on the Net Revenue basis.</t>
  </si>
  <si>
    <t>Subscription</t>
  </si>
  <si>
    <t>Pooled payout, narrowed to the opted-in catalogue.</t>
  </si>
  <si>
    <t>Books &amp; Authors</t>
  </si>
  <si>
    <t>Two author routes: ebook, and commissioned textbook.</t>
  </si>
  <si>
    <t>Take Rate Compare</t>
  </si>
  <si>
    <t>Scenario table is illustrative only — it does not use the model's live rates.</t>
  </si>
  <si>
    <t>Benchmarks</t>
  </si>
  <si>
    <t>Sourced competitor rates and platform limits.</t>
  </si>
  <si>
    <t>Change Log</t>
  </si>
  <si>
    <t>Every version, newest at the top.</t>
  </si>
  <si>
    <t>WHAT CHANGED IN v4</t>
  </si>
  <si>
    <t>1. Subscription term</t>
  </si>
  <si>
    <t>The monthly plan now carries a 6-MONTH MINIMUM, billed as one charge. $114 committed is 1.44 standard courses, so all-access no longer undercuts a single $79 course. A 3-month term ($57) would not have cleared it.</t>
  </si>
  <si>
    <t>2. Refund policy</t>
  </si>
  <si>
    <t>NEW. 30-day course window, earnings released day 31, 12-hour live cancellation, plus a group-class withdrawal rule and the fact that WooPayments does not return processing fees on a refund. See 'Refunds &amp; Payouts'.</t>
  </si>
  <si>
    <t>3. Tax sensitivity</t>
  </si>
  <si>
    <t>Margin shown at 0 / 8 / 15 / 20% tax on Assumptions. The blended rate is a live input to instructor payouts — deduct actual per-transaction tax in the payout engine and keep the blend for planning.</t>
  </si>
  <si>
    <t>4. Package rule 4</t>
  </si>
  <si>
    <t>If a tutor becomes unavailable, unused hours are refunded at the rate actually paid and TrioEdX absorbs the processing. Built differently from the wording proposed, which would have refunded more than the student paid.</t>
  </si>
  <si>
    <t>Declined</t>
  </si>
  <si>
    <t>Issue 2 (certificate vs component courses) and issue 4 (tier-3 floor vs pack discount) were ignored by decision and are logged as accepted open risks on 'v4 Change Log'.</t>
  </si>
  <si>
    <t>Refunds &amp; Payouts</t>
  </si>
  <si>
    <t>NEW. Every refund window, who bears the cost, and when payouts release.</t>
  </si>
  <si>
    <t>WHAT CHANGED IN v5</t>
  </si>
  <si>
    <t>1. Books simplified</t>
  </si>
  <si>
    <t>Print-on-demand and bundled-book routes removed. Two routes remain: ebook, and commissioned textbook. Removing the bundled book also closes the v4 defect where an unallocated 8% royalty pushed the instructor-referral channel to -$1.43.</t>
  </si>
  <si>
    <t>2. Tier 3 flattened</t>
  </si>
  <si>
    <t>A flat 17% at 300+ hours. The $18/hr floor and the below-floor branch are retired — they rested on a break-even figure from v2's gross-price basis that no longer holds.</t>
  </si>
  <si>
    <t>3. Break-even rewritten</t>
  </si>
  <si>
    <t>'Minimum viable price' is now variable-cost break-even, shown beside contribution per transaction and the volume needed to cover fixed cost.</t>
  </si>
  <si>
    <t>4. CAC</t>
  </si>
  <si>
    <t>Deferred. A note on Courses records the $39.77 ceiling for the paid-acquisition channel. Nothing modelled.</t>
  </si>
  <si>
    <t>Group-class seat economics and the trial-lesson cap were ignored by decision and are logged on 'Change Log'.</t>
  </si>
  <si>
    <t>WooCommerce / WooPayments, US merchant of record. Prices are tax-inclusive.</t>
  </si>
  <si>
    <t>PAYMENT PROCESSING — WOOCOMMERCE</t>
  </si>
  <si>
    <t>Gateway component</t>
  </si>
  <si>
    <t>Note</t>
  </si>
  <si>
    <t>Domestic card rate</t>
  </si>
  <si>
    <t>WooCommerce itself takes 0%.</t>
  </si>
  <si>
    <t>International card surcharge</t>
  </si>
  <si>
    <t>Applies when the buyer's card is issued outside the US.</t>
  </si>
  <si>
    <t>Currency conversion</t>
  </si>
  <si>
    <t>WooPayments charges 2%.</t>
  </si>
  <si>
    <t>Fixed fee per transaction</t>
  </si>
  <si>
    <t>Regressive — this is why the 10-pack is cheaper to process than 10 lessons.</t>
  </si>
  <si>
    <t>Dispute / chargeback fee</t>
  </si>
  <si>
    <t>WooPayments refunds it if you win; Stripe direct does not.</t>
  </si>
  <si>
    <t>Share of sales on a foreign-issued card</t>
  </si>
  <si>
    <t>BLENDED processing rate</t>
  </si>
  <si>
    <t>TAX &amp; REVENUE BASIS   [NEW IN v3 — closes audit issue 4]</t>
  </si>
  <si>
    <t>Prices displayed are tax-inclusive</t>
  </si>
  <si>
    <t>YES</t>
  </si>
  <si>
    <t>What the buyer sees is what they pay. One number on every card, in every currency, everywhere.</t>
  </si>
  <si>
    <t>Blended tax rate across the customer base</t>
  </si>
  <si>
    <t>A weighted average: many US sales carry no VAT, EU sales carry 19-25%, UK 20%. Re-check as the mix shifts.</t>
  </si>
  <si>
    <t>SPLITS ARE COMPUTED ON</t>
  </si>
  <si>
    <t>Net Revenue</t>
  </si>
  <si>
    <t>Net Revenue = gross  less tax  less payment processing. Tax was never anyone's revenue to share, and processing is now shared in proportion rather than absorbed by TrioEdX alone.</t>
  </si>
  <si>
    <t>Instructor impact — MUST be in the agreement</t>
  </si>
  <si>
    <t>see note</t>
  </si>
  <si>
    <t>On a $79 organic sale an instructor now earns $34.33 instead of $39.50. Lower, and correct — but it has to be explained before anyone signs, not after their first payout.</t>
  </si>
  <si>
    <t>COST STACK</t>
  </si>
  <si>
    <t>Deducted BEFORE the split (from gross, to reach Net Revenue):</t>
  </si>
  <si>
    <t>Cost line</t>
  </si>
  <si>
    <t>Tutoring</t>
  </si>
  <si>
    <t>Tax (blended)</t>
  </si>
  <si>
    <t>Remitted to tax authorities. Never revenue.</t>
  </si>
  <si>
    <t>Payment processing</t>
  </si>
  <si>
    <t>Plus the $0.30 fixed fee, applied per transaction on every tab.</t>
  </si>
  <si>
    <t>Total deducted before the split</t>
  </si>
  <si>
    <t>TrioEdX's OWN costs (paid out of our share, after the split):</t>
  </si>
  <si>
    <t>Instructor payout &amp; FX (Wise/Payoneer)</t>
  </si>
  <si>
    <t>Neither Stripe nor WooPayments pays out to Pakistan.</t>
  </si>
  <si>
    <t>Refunds &amp; chargeback reserve</t>
  </si>
  <si>
    <t>Self-paced courses refund far more than booked live sessions.</t>
  </si>
  <si>
    <t>Video, hosting, LMS infrastructure</t>
  </si>
  <si>
    <t>Live sessions carry per-minute video cost.</t>
  </si>
  <si>
    <t>Support, trust &amp; safety, content QA</t>
  </si>
  <si>
    <t>Human cost.</t>
  </si>
  <si>
    <t>Total TrioEdX own costs</t>
  </si>
  <si>
    <t>Expressed as a % of the GROSS price — these scale with the transaction, not with our share.</t>
  </si>
  <si>
    <t>FIXED MONTHLY COST</t>
  </si>
  <si>
    <t>$ / month</t>
  </si>
  <si>
    <t>Hosting / VPS / CDN</t>
  </si>
  <si>
    <t>HostGator Snappy 4000 VPS class + CDN.</t>
  </si>
  <si>
    <t>Tutor LMS Pro (Business)</t>
  </si>
  <si>
    <t>$399/yr.</t>
  </si>
  <si>
    <t>WooCommerce Subscriptions</t>
  </si>
  <si>
    <t>$279/yr.</t>
  </si>
  <si>
    <t>WooCommerce Bookings</t>
  </si>
  <si>
    <t>$249/yr, or zero if the custom booking plugin is kept.</t>
  </si>
  <si>
    <t>WooCommerce EU VAT Number</t>
  </si>
  <si>
    <t>$39/yr. Now essential — tax-inclusive pricing needs correct VAT determination.</t>
  </si>
  <si>
    <t>Quaderno (cross-border VAT/GST)</t>
  </si>
  <si>
    <t>$49/mo. Also now essential for the same reason.</t>
  </si>
  <si>
    <t>Elementor Pro + other licences</t>
  </si>
  <si>
    <t>Theme and page-builder licences.</t>
  </si>
  <si>
    <t>Video infrastructure base</t>
  </si>
  <si>
    <t>Zoom/LiveKit committed minimum.</t>
  </si>
  <si>
    <t>Tools, analytics, accounting</t>
  </si>
  <si>
    <t>Bookkeeping, support desk.</t>
  </si>
  <si>
    <t>Content &amp; curriculum staff (part-time)</t>
  </si>
  <si>
    <t>Largest and most controllable line.</t>
  </si>
  <si>
    <t>Marketing base spend</t>
  </si>
  <si>
    <t>Excludes performance ad spend charged to the ads channel.</t>
  </si>
  <si>
    <t>Total fixed cost / month</t>
  </si>
  <si>
    <t>TAKE RATE LEVERS   (applied to Net Revenue, not to the gross price)</t>
  </si>
  <si>
    <t>Lever</t>
  </si>
  <si>
    <t>Rate</t>
  </si>
  <si>
    <t>1-on-1: tier 1 (0-50 cumulative hrs)</t>
  </si>
  <si>
    <t>Preply charges 33% here.</t>
  </si>
  <si>
    <t>1-on-1: tier 2 (51-300 hrs)</t>
  </si>
  <si>
    <t>Preply 28%.</t>
  </si>
  <si>
    <t>1-on-1: tier 3 (300+ cumulative hrs) — FLAT</t>
  </si>
  <si>
    <t>v5: flat 17%, replacing the conditional 15%/20% pair. Still beats Preply's 18% floor at every rate.</t>
  </si>
  <si>
    <t>1-on-1: tier 3 — BELOW the floor  (RETIRED v5)</t>
  </si>
  <si>
    <t>not used</t>
  </si>
  <si>
    <t>Retired in v5 with the floor. Row kept, not deleted — deleting it would shift every lever below and break the absolute references pointing at them.</t>
  </si>
  <si>
    <t>1-on-1: tier 3 rate floor ($/hr)  (RETIRED v5)</t>
  </si>
  <si>
    <t>Retired in v5. The floor rested on a $17.65/hr break-even carried over from v2, when splits were computed on the GROSS price. On the Net Revenue basis 17% breaks even at about $0.86/hr, so the whole rate band is profitable.</t>
  </si>
  <si>
    <t>1-on-1: trial lesson take</t>
  </si>
  <si>
    <t>Preply takes 100% of every trial.</t>
  </si>
  <si>
    <t>1-on-1: 10-hour package discount</t>
  </si>
  <si>
    <t>v3: the only package offered. Student saves 5%; one transaction instead of ten.</t>
  </si>
  <si>
    <t>Group class take rate (flat)</t>
  </si>
  <si>
    <t>Outschool takes 30%.</t>
  </si>
  <si>
    <t>Course: instructor-referred sale</t>
  </si>
  <si>
    <t>v3: raised from 15%, which lost money at any price. Now profitable at every price on the list.</t>
  </si>
  <si>
    <t>Course: TrioEdX organic marketplace</t>
  </si>
  <si>
    <t>Udemy pays the instructor 37% here.</t>
  </si>
  <si>
    <t>Course: TrioEdX paid acquisition</t>
  </si>
  <si>
    <t>TrioEdX carries the ad spend and refund risk.</t>
  </si>
  <si>
    <t>Course: commissioned degree course</t>
  </si>
  <si>
    <t>TrioEdX funds the build and owns the IP.</t>
  </si>
  <si>
    <t>Subscription: instructor pool share</t>
  </si>
  <si>
    <t>Udemy allocates 15%.</t>
  </si>
  <si>
    <t>Book: ebook on TrioEdX</t>
  </si>
  <si>
    <t>Amazon KDP author keeps 70%.</t>
  </si>
  <si>
    <t>Book: print-on-demand  (NOT OFFERED v5)</t>
  </si>
  <si>
    <t>not offered</t>
  </si>
  <si>
    <t>v5: students are not offered printed books. Row kept, not deleted, to protect the references below it.</t>
  </si>
  <si>
    <t>Blue-filled green rows are new or changed in v3.</t>
  </si>
  <si>
    <t>SUBSCRIPTION COMMITMENT   [NEW IN v4 — closes audit issue 1]</t>
  </si>
  <si>
    <t>Value</t>
  </si>
  <si>
    <t>Monthly plan — minimum term (months)</t>
  </si>
  <si>
    <t>v4: was no minimum. Six months is the shortest term that commits more than one course price.</t>
  </si>
  <si>
    <t>Committed spend at the minimum term</t>
  </si>
  <si>
    <t>What a monthly subscriber is now signing up for.</t>
  </si>
  <si>
    <t>Standard course price — what it competes with</t>
  </si>
  <si>
    <t>The subscription must not be cheaper than the thing it replaces.</t>
  </si>
  <si>
    <t>Commitment expressed in standard courses</t>
  </si>
  <si>
    <t>MUST EXCEED 1.00. At no minimum this was 0.24 and at three months 0.72 — both under one course, so every single-course buyer was better off subscribing. At six months it is 1.44.</t>
  </si>
  <si>
    <t>Charges per term</t>
  </si>
  <si>
    <t>Billed as ONE charge per term, not six monthly ones. Nets more and removes five chances of card failure.</t>
  </si>
  <si>
    <t>Fixed fees avoided per subscriber per year</t>
  </si>
  <si>
    <t>Ten fewer $0.30 fees a year per monthly subscriber.</t>
  </si>
  <si>
    <t>TAX SENSITIVITY   [NEW IN v4 — closes audit issue 3]</t>
  </si>
  <si>
    <t>Blended tax rate</t>
  </si>
  <si>
    <t>Net Revenue on a $79 course</t>
  </si>
  <si>
    <t>Our net @ organic 50%</t>
  </si>
  <si>
    <t>Margin</t>
  </si>
  <si>
    <t>← the rate currently in B17</t>
  </si>
  <si>
    <t>• Every 1 point of tax costs roughly half a point of margin, because our share is a % of net while our own costs are a % of gross.</t>
  </si>
  <si>
    <t>• The instructor-referral channel is the exposed one: 6.6% margin at 0% tax, 5.2% at 8%, and 3.0% at 20%. It has almost no cushion.</t>
  </si>
  <si>
    <t>• ACTION: replace the 8% estimate in B17 with Quaderno's actual blended figure within the first quarter, then review it quarterly.</t>
  </si>
  <si>
    <t xml:space="preserve">  WARNING: because every split computes on Net Revenue, B17 is a live input to instructor payouts. Revising it changes what instructors</t>
  </si>
  <si>
    <t xml:space="preserve">  earn with no change to their prices. Deduct ACTUAL tax per transaction in the payout engine (Quaderno reports it per sale) and keep</t>
  </si>
  <si>
    <t xml:space="preserve">  this blended figure for planning only — otherwise a US buyer at 0% VAT is notionally charged 8% and a UK buyer at 20% is undercharged.</t>
  </si>
  <si>
    <t>REFUNDS, CANCELLATION &amp; PAYOUT HOLD   [NEW IN v4 — closes audit issue 5]</t>
  </si>
  <si>
    <t>Rule</t>
  </si>
  <si>
    <t>Setting</t>
  </si>
  <si>
    <t>Refund window — self-paced courses</t>
  </si>
  <si>
    <t>30 days</t>
  </si>
  <si>
    <t>Matches Udemy. A clear window suppresses chargebacks, each of which costs $15 plus the disputed amount.</t>
  </si>
  <si>
    <t>Instructor earnings released</t>
  </si>
  <si>
    <t>Day 31</t>
  </si>
  <si>
    <t>The window funds the refund. Nothing is paid out while it is open.</t>
  </si>
  <si>
    <t>Tutor LMS 'minimum days for balance to be available'</t>
  </si>
  <si>
    <t>IMPLEMENTATION WARNING — this is ONE GLOBAL SETTING. It holds TUTOR money 30 days too, though live sessions carry only a 12-hour exposure. Preply confirms a classroom lesson ~15 minutes after it ends and the tutor can withdraw immediately. Either accept it and say so on the tutor signup page, or build a split hold in custom code.</t>
  </si>
  <si>
    <t>Live 1-on-1 — cancellation</t>
  </si>
  <si>
    <t>12 hours</t>
  </si>
  <si>
    <t>Cancel more than 12 hours ahead and the hour returns to the balance; inside 12 hours it is charged. Mirrors Preply.</t>
  </si>
  <si>
    <t>Group class — withdrawal</t>
  </si>
  <si>
    <t>v4 addition: the 12-hour rule cannot govern a multi-week cohort. Full refund before session 1; pro-rata on remaining sessions up to the end of session 2; none after. Without this, group classes had no refund rule at all.</t>
  </si>
  <si>
    <t>Processing fee returned on a refund</t>
  </si>
  <si>
    <t>WooPayments does not return fees on a refund: 'the fees paid on that transaction are not refunded to your WooPayments account.'</t>
  </si>
  <si>
    <t>Cash cost of one refunded $79 course</t>
  </si>
  <si>
    <t>A refund is not a wash — this much is gone whatever happens.</t>
  </si>
  <si>
    <t>Unrecovered fees per 100 course sales at the assumed refund rate</t>
  </si>
  <si>
    <t>At the 4% reserve in B31. Paid-acquisition traffic refunds well above organic, so test B31 against actuals early.</t>
  </si>
  <si>
    <t>Package refund basis — student cancels</t>
  </si>
  <si>
    <t>Amount paid less hours used at the full rate</t>
  </si>
  <si>
    <t>The student forfeits the pack discount on the hours they consumed. Never exceeds what they paid.</t>
  </si>
  <si>
    <t>Package refund basis — tutor unavailable</t>
  </si>
  <si>
    <t>All unused hours at the rate actually paid</t>
  </si>
  <si>
    <t>v4: our fault, so the student keeps their discount and TrioEdX absorbs the processing. See 'Lesson Packages'.</t>
  </si>
  <si>
    <t>• 'Refunded in full at the undiscounted rate' was the wording proposed for the tutor-unavailable rule. Taken literally it</t>
  </si>
  <si>
    <t xml:space="preserve">  refunds MORE than the student paid: a $25/hr 10-pack costs $237.50, and 10 unused hours at $25 is $250. See 'Lesson Packages'.</t>
  </si>
  <si>
    <t>• A package can run three months while the payout hold is 30 days, so the tutor is paid long before the hours are used.</t>
  </si>
  <si>
    <t xml:space="preserve">  Package refunds therefore come out of TrioEdX's own cash. Holding package earnings per lesson consumed would fix it — custom code.</t>
  </si>
  <si>
    <t>Pale-blue-filled rows are new or changed in v4. Pale-green rows were new in v3.</t>
  </si>
  <si>
    <t>Pale-rose rows are new or changed in v5. Pale-blue rows were new in v4; pale-green in v3.</t>
  </si>
  <si>
    <t>Price List — one price, everywhere</t>
  </si>
  <si>
    <t>USD, tax-inclusive. What the buyer sees is what they pay.</t>
  </si>
  <si>
    <t>Product</t>
  </si>
  <si>
    <t>Price</t>
  </si>
  <si>
    <t>Our net @50%</t>
  </si>
  <si>
    <t>In the subscription?</t>
  </si>
  <si>
    <t>Micro-course (2-4 hrs)</t>
  </si>
  <si>
    <t>YES — if the instructor opts in</t>
  </si>
  <si>
    <t>Standard course (8-15 hrs)</t>
  </si>
  <si>
    <t>Professional certificate (4-6 courses)</t>
  </si>
  <si>
    <t>NO — sold separately</t>
  </si>
  <si>
    <t>Associate-degree course (3 credits, supported)</t>
  </si>
  <si>
    <t>Full associate degree (60 credits = 20 courses)</t>
  </si>
  <si>
    <t>Group class — per seat, per session</t>
  </si>
  <si>
    <t>NO — live, sold separately</t>
  </si>
  <si>
    <t>1-on-1 tutoring</t>
  </si>
  <si>
    <t>tutor sets</t>
  </si>
  <si>
    <t>All-access subscription ($/month, 6-month minimum term)</t>
  </si>
  <si>
    <t>— (see Subscription)</t>
  </si>
  <si>
    <t>All-access subscription ($/year)</t>
  </si>
  <si>
    <t>—</t>
  </si>
  <si>
    <t>The last column is new in v3 and is the single most important thing on this sheet — see 'Subscription Scope'.</t>
  </si>
  <si>
    <t>v4: the monthly plan now carries a 6-MONTH MINIMUM TERM. $19 x 6 = $114 committed, which is 1.44 standard courses.</t>
  </si>
  <si>
    <t>At no minimum ($19) or a three-month minimum ($57) the subscription was cheaper than a single $79 course, so it</t>
  </si>
  <si>
    <t>cannibalised the catalogue it was meant to feed. Six months is the shortest term that clears one course price.</t>
  </si>
  <si>
    <t>The term is billed as ONE charge, not six monthly ones.</t>
  </si>
  <si>
    <t>What All-Access Includes  [NEW IN v3 — closes audit issue 1]</t>
  </si>
  <si>
    <t>The subscription was undercutting the whole catalogue because nothing defined its boundary. This is the boundary.</t>
  </si>
  <si>
    <t>THE PROBLEM THIS FIXES</t>
  </si>
  <si>
    <t>• At $19/month with no stated limit, a student could reasonably assume all-access covered everything — certificates, degree courses, group classes, even tutoring.</t>
  </si>
  <si>
    <t>• On that reading, $180/year of subscription replaced $299 of certificate, $79 courses and $96 group cohorts. Nothing else was worth buying.</t>
  </si>
  <si>
    <t>• An instructor also had no way to know whether their course was in the pool or sold directly, and the two pay very differently.</t>
  </si>
  <si>
    <t>THE BOUNDARY</t>
  </si>
  <si>
    <t>In all-access?</t>
  </si>
  <si>
    <t>How it is sold</t>
  </si>
  <si>
    <t>Why</t>
  </si>
  <si>
    <t>Micro-courses</t>
  </si>
  <si>
    <t>Included, opt-in</t>
  </si>
  <si>
    <t>Zero marginal cost. These are the funnel.</t>
  </si>
  <si>
    <t>Standard self-paced courses</t>
  </si>
  <si>
    <t>Zero marginal cost. The core of the catalogue.</t>
  </si>
  <si>
    <t>Professional certificates</t>
  </si>
  <si>
    <t>NO</t>
  </si>
  <si>
    <t>One-off purchase</t>
  </si>
  <si>
    <t>Assessed, credentialed, and carries a real per-issue cost.</t>
  </si>
  <si>
    <t>Associate-degree courses</t>
  </si>
  <si>
    <t>One-off or payment plan</t>
  </si>
  <si>
    <t>Instructor-supported and accredited. Not a catalogue item.</t>
  </si>
  <si>
    <t>Full associate degree</t>
  </si>
  <si>
    <t>Payment plan</t>
  </si>
  <si>
    <t>Two-year programme; cannot be consumed in a $19 month.</t>
  </si>
  <si>
    <t>Group classes / cohorts</t>
  </si>
  <si>
    <t>Per seat</t>
  </si>
  <si>
    <t>Live teaching. A tutor's hour has real cost.</t>
  </si>
  <si>
    <t>Per hour or 10-pack</t>
  </si>
  <si>
    <t>Live teaching. Never bundled.</t>
  </si>
  <si>
    <t>Books / ebooks</t>
  </si>
  <si>
    <t>Author royalty is per unit sold.</t>
  </si>
  <si>
    <t>Everything marked NO must say so on its product page, or the boundary will not hold.</t>
  </si>
  <si>
    <t>THE OPT-IN MECHANIC</t>
  </si>
  <si>
    <t>• Inclusion in the subscription is OPT-IN per course, chosen by the instructor, and reversible with 30 days' notice.</t>
  </si>
  <si>
    <t>• Before opting in, the instructor sees an estimate: 'based on the current pool rate, a course like yours earned roughly $X last month'.</t>
  </si>
  <si>
    <t>• The pool share (currently 50% of net subscription revenue) is guaranteed in writing not to fall for a course already enrolled. Udemy's biggest instructor grievance was a share that moved after the fact.</t>
  </si>
  <si>
    <t>• Free courses are excluded from the pool entirely — they earn nothing from it and cost nothing to it.</t>
  </si>
  <si>
    <t>THE NUMBER AN INSTRUCTOR WILL CHECK</t>
  </si>
  <si>
    <t>One direct organic sale of a $79 course pays the instructor</t>
  </si>
  <si>
    <t>Pool rate per 1,000 qualified minutes</t>
  </si>
  <si>
    <t>Minutes of consumption needed to match one direct sale</t>
  </si>
  <si>
    <t>Same, expressed in hours</t>
  </si>
  <si>
    <t>Show this figure honestly on the opt-in screen. An instructor who discovers it later opts out and tells the others.</t>
  </si>
  <si>
    <t>Cost per ticket, and the minimum price each take rate can carry.</t>
  </si>
  <si>
    <t>Ticket</t>
  </si>
  <si>
    <t>Tax</t>
  </si>
  <si>
    <t>Processing</t>
  </si>
  <si>
    <t>NR as % of gross</t>
  </si>
  <si>
    <t>group class seat</t>
  </si>
  <si>
    <t>subscription month</t>
  </si>
  <si>
    <t>micro-course</t>
  </si>
  <si>
    <t>1-on-1 hour</t>
  </si>
  <si>
    <t>standard course</t>
  </si>
  <si>
    <t>annual subscription</t>
  </si>
  <si>
    <t>10-hour package</t>
  </si>
  <si>
    <t>certificate</t>
  </si>
  <si>
    <t>VARIABLE-COST BREAK-EVEN — and what each sale actually contributes   [RETITLED IN v5]</t>
  </si>
  <si>
    <t>At this take rate</t>
  </si>
  <si>
    <t>Variable-cost break-even ticket</t>
  </si>
  <si>
    <t>Reference sale</t>
  </si>
  <si>
    <t>Contribution per transaction</t>
  </si>
  <si>
    <t>Sales / month to cover fixed cost</t>
  </si>
  <si>
    <t>Reading</t>
  </si>
  <si>
    <t>18% — course referral (v3)</t>
  </si>
  <si>
    <t>a $79 standard course, referral channel</t>
  </si>
  <si>
    <t>Break-even is variable cost only. The contribution column is what the sale is actually worth.</t>
  </si>
  <si>
    <t>22% — group class</t>
  </si>
  <si>
    <t>one cohort seat — 8 sessions at $12</t>
  </si>
  <si>
    <t>25% — tutoring tier 1</t>
  </si>
  <si>
    <t>one tutoring hour at $30</t>
  </si>
  <si>
    <t>50% — course organic</t>
  </si>
  <si>
    <t>a $79 standard course, organic channel</t>
  </si>
  <si>
    <t>Break-even prices are far lower than in v2 because tax and the $0.30 fixed fee now come off BEFORE the split — so TrioEdX bears only its share of them, not all of them. This is the pass-through effect, and it is why 18% works where 15% on the gross basis did not.</t>
  </si>
  <si>
    <t>HOW TO READ THESE TWO COLUMNS</t>
  </si>
  <si>
    <t>• The break-even column answers one narrow question: below what price does this transaction lose money on variable cost alone?</t>
  </si>
  <si>
    <t xml:space="preserve">  It is NOT a pricing floor. A $1.04 break-even does not make a $2 product sensible — at $2 the sale contributes cents.</t>
  </si>
  <si>
    <t>• The contribution column is the number that matters: what one sale leaves after tax, processing, the counterparty's share</t>
  </si>
  <si>
    <t xml:space="preserve">  and TrioEdX's own costs. The last column turns that into the only question a young business has to answer —</t>
  </si>
  <si>
    <t xml:space="preserve">  how many of these do we need each month before fixed cost is paid?</t>
  </si>
  <si>
    <t>• Fixed cost is Assumptions B49. Nothing above that line is profit; it is a hurdle every revenue line clears together.</t>
  </si>
  <si>
    <t>1-on-1 Tutoring Economics</t>
  </si>
  <si>
    <t>Tier 3 is a flat rate from v5. The rate guardrails below are advisory bands, not enforced prices.</t>
  </si>
  <si>
    <t>RATE GUARDRAILS — banded by the TUTOR's cost base</t>
  </si>
  <si>
    <t>Tutor band</t>
  </si>
  <si>
    <t>Floor $/hr</t>
  </si>
  <si>
    <t>Typical low</t>
  </si>
  <si>
    <t>Typical high</t>
  </si>
  <si>
    <t>Ceiling $/hr</t>
  </si>
  <si>
    <t>Global / high-cost market tutor</t>
  </si>
  <si>
    <t>Benchmark: math/CS median ~EUR 25-30/hr.</t>
  </si>
  <si>
    <t>Emerging-market tutor</t>
  </si>
  <si>
    <t>With zones gone, this band is the only thing keeping TrioEdX affordable in low-income markets.</t>
  </si>
  <si>
    <t>STEM / programming premium</t>
  </si>
  <si>
    <t>Apply +15-20% to the band above.</t>
  </si>
  <si>
    <t>TIER 3 IS NOW A FLAT RATE   [CHANGED IN v5 — the floor is retired]</t>
  </si>
  <si>
    <t>• Tier 3 is a flat 17% at 300+ cumulative hours. The $18/hr floor and the 20% below-floor branch are both retired.</t>
  </si>
  <si>
    <t>• The floor rested on a break-even of about $17.65/hr — a v2 figure, from when splits were computed on the GROSS price.</t>
  </si>
  <si>
    <t xml:space="preserve">  On the Net Revenue basis 17% breaks even near $0.86/hr, so the whole rate band is profitable and the floor solved nothing.</t>
  </si>
  <si>
    <t>• At $30/hr, 17% keeps TrioEdX $1.72 (5.7%) rather than $1.20 (4.0%) — about 1,960 tier-3 hours a month to cover fixed cost, from 2,808.</t>
  </si>
  <si>
    <t>Tutor's hourly rate</t>
  </si>
  <si>
    <t>Change this to test a tutor at any rate; the tier-3 row switches automatically.</t>
  </si>
  <si>
    <t>Tier 3 rate (flat)</t>
  </si>
  <si>
    <t>v5: no longer conditional on the tutor's hourly rate.</t>
  </si>
  <si>
    <t>Tier</t>
  </si>
  <si>
    <t>Take</t>
  </si>
  <si>
    <t>Student pays</t>
  </si>
  <si>
    <t>Tutor keeps</t>
  </si>
  <si>
    <t>TrioEdX net</t>
  </si>
  <si>
    <t>Margin %</t>
  </si>
  <si>
    <t>Tier 1 — hours 0-50</t>
  </si>
  <si>
    <t>Tier 2 — hours 51-300</t>
  </si>
  <si>
    <t>Tier 3 — hours 300+ (flat)</t>
  </si>
  <si>
    <t>Trial lesson (30 min, half rate)</t>
  </si>
  <si>
    <t>Tutor keeps is now a share of NET revenue, so it is lower than the old gross-basis figure. Tax and processing came off the top first — see the Assumptions note.</t>
  </si>
  <si>
    <t>Lesson Packages  [NEW IN v3]</t>
  </si>
  <si>
    <t>Two options only: pay as you go, or a 10-hour pack at 5% off. Nothing else is offered.</t>
  </si>
  <si>
    <t>Tier applied (tier 1 shown)</t>
  </si>
  <si>
    <t>A — Pay as you go</t>
  </si>
  <si>
    <t>B — 10-hour pack</t>
  </si>
  <si>
    <t>Difference</t>
  </si>
  <si>
    <t>Hours purchased</t>
  </si>
  <si>
    <t>Same teaching either way — only the payment differs.</t>
  </si>
  <si>
    <t>Transactions</t>
  </si>
  <si>
    <t>Ten $0.30 fixed fees, or one. This is where the discount is funded from.</t>
  </si>
  <si>
    <t>Discount</t>
  </si>
  <si>
    <t>5%, as decided.</t>
  </si>
  <si>
    <t>The student's saving.</t>
  </si>
  <si>
    <t>Less: tax</t>
  </si>
  <si>
    <t>Less: processing</t>
  </si>
  <si>
    <t>Ten fixed fees vs one — a $2.70 saving that largely pays for the discount.</t>
  </si>
  <si>
    <t>The tutor funds the discount at the standard take rate.</t>
  </si>
  <si>
    <t>TrioEdX share</t>
  </si>
  <si>
    <t>Less: our own costs</t>
  </si>
  <si>
    <t>TrioEdX NET</t>
  </si>
  <si>
    <t>Nearly identical, because the fixed-fee saving offsets the discount.</t>
  </si>
  <si>
    <t>Read the Difference column: the student saves real money, TrioEdX is close to neutral, and the tutor funds the discount. If you would rather share it, drop the package take rate by two points — the lever is on Assumptions.</t>
  </si>
  <si>
    <t>THE THREE RULES A PACKAGE NEEDS</t>
  </si>
  <si>
    <t>Why it exists</t>
  </si>
  <si>
    <t>Expiry on unused hours</t>
  </si>
  <si>
    <t>12 months</t>
  </si>
  <si>
    <t>Unused hours cannot sit on the books forever — they are a liability and they distort the earnings ledger.</t>
  </si>
  <si>
    <t>Partial refund basis — student cancels</t>
  </si>
  <si>
    <t>v4 CORRECTED. Refund = amount paid less hours used at the FULL rate. The student forfeits the pack discount on the hours they consumed, and the refund can never exceed what they paid.</t>
  </si>
  <si>
    <t>Which tier applies</t>
  </si>
  <si>
    <t>Set at purchase</t>
  </si>
  <si>
    <t>Package hours count toward the tutor's cumulative total, but the take rate is fixed at the moment of purchase, not re-evaluated per lesson.</t>
  </si>
  <si>
    <t>If the tutor becomes unavailable</t>
  </si>
  <si>
    <t>v4 NEW — rule 4. All unused hours refunded at the rate the student actually paid, and TrioEdX absorbs the processing. Our fault, so the student keeps the discount they bought.</t>
  </si>
  <si>
    <t>• Only ONE package size is offered — 10 hours. No 5-pack, no 20-pack. One extra choice on the booking screen, not three.</t>
  </si>
  <si>
    <t>• The package is the retention mechanic: a student holding eight prepaid hours has already decided to come back. That is its whole purpose.</t>
  </si>
  <si>
    <t>WHAT THE REFUND ACTUALLY COSTS   [NEW IN v4]</t>
  </si>
  <si>
    <t>Amount paid for the 10-hour pack</t>
  </si>
  <si>
    <t>At the tutor rate in B4.</t>
  </si>
  <si>
    <t>Rate the student actually paid, per hour</t>
  </si>
  <si>
    <t>Hours used</t>
  </si>
  <si>
    <t>Rule 4 refund — tutor unavailable</t>
  </si>
  <si>
    <t>Refund if a student cancels</t>
  </si>
  <si>
    <t>As worded: unused hrs x UNDISCOUNTED rate</t>
  </si>
  <si>
    <t>Cash kept under that wording</t>
  </si>
  <si>
    <t>Processing TrioEdX absorbs on the original charge</t>
  </si>
  <si>
    <t>• Read the last column. 'Remaining hours refunded in full at the UNDISCOUNTED rate' pays out more than the student ever paid:</t>
  </si>
  <si>
    <t xml:space="preserve">  at zero hours used, a 10-pack bought at 5% off is refunded at 100% of list, so the cash kept is NEGATIVE. Scale it up and a</t>
  </si>
  <si>
    <t xml:space="preserve">  $40/hr tutor leaving before lesson one costs $20 on top of the processing absorbed.</t>
  </si>
  <si>
    <t>• Column B is the rule as built: unused hours at the rate the student actually paid. Same promise to the student, no leak.</t>
  </si>
  <si>
    <t>• Three things rule 4 still needs before it is enforceable, and none of them is a pricing decision:</t>
  </si>
  <si>
    <t xml:space="preserve">     1. A definition of 'unavailable' — two no-shows, seven days without a reply, account deactivated, or removed for cause.</t>
  </si>
  <si>
    <t xml:space="preserve">     2. The refund is charged against the tutor's outstanding balance where one exists. Otherwise a tutor can leave, trigger</t>
  </si>
  <si>
    <t xml:space="preserve">        full refunds at TrioEdX's cost, and re-sign those students privately.</t>
  </si>
  <si>
    <t xml:space="preserve">     3. Package earnings held per lesson consumed, not per purchase — a pack runs three months, the payout hold is 30 days,</t>
  </si>
  <si>
    <t xml:space="preserve">        so today the refund comes from TrioEdX's own cash. Tutor LMS will not do this natively.</t>
  </si>
  <si>
    <t>Group Class Economics</t>
  </si>
  <si>
    <t>One seat price everywhere. No minimum seat count — see the accepted risk below.</t>
  </si>
  <si>
    <t>Price per seat, per session</t>
  </si>
  <si>
    <t>From the Price List.</t>
  </si>
  <si>
    <t>Sessions in the cohort</t>
  </si>
  <si>
    <t>A cohort, not a one-off.</t>
  </si>
  <si>
    <t>Minimum seats to run</t>
  </si>
  <si>
    <t>No minimum. Unchanged in v3 by decision.</t>
  </si>
  <si>
    <t>Seats</t>
  </si>
  <si>
    <t>Cohort revenue</t>
  </si>
  <si>
    <t>Tutor $ / teaching hour</t>
  </si>
  <si>
    <t>ACCEPTED OPEN RISK — no-minimum seat count</t>
  </si>
  <si>
    <t>• A cohort runs with one student. At one seat the tutor earns far less per teaching hour than from a private lesson at the same time.</t>
  </si>
  <si>
    <t>• A top-up mitigation (paying the tutor the difference up to their private rate, capped) was proposed and DECLINED in v3. No mitigation is in place.</t>
  </si>
  <si>
    <t>• Consequence to watch: tutors who list a group class and do not fill it are worse off than if they had taught privately. Expect group-class listings to decline once tutors notice.</t>
  </si>
  <si>
    <t>• Logged here so the decision is visible and revisitable, not lost. Revisit if group-class listings fall or tutors raise it.</t>
  </si>
  <si>
    <t>Cohort rules that DO stand</t>
  </si>
  <si>
    <t>• Tutor is paid on seats present at session one, not reduced by later drops.</t>
  </si>
  <si>
    <t>• Late enrolment after session two is prorated on remaining sessions.</t>
  </si>
  <si>
    <t>• Show the seat count before purchase, so a student choosing a nearly-empty cohort is choosing it knowingly.</t>
  </si>
  <si>
    <t>Self-Paced Course Revenue Share</t>
  </si>
  <si>
    <t>Four channels, split on Net Revenue. Referral raised to 18% in v3.</t>
  </si>
  <si>
    <t>Course price (tax-inclusive)</t>
  </si>
  <si>
    <t>Acquisition channel</t>
  </si>
  <si>
    <t>TrioEdX take</t>
  </si>
  <si>
    <t>Instructor keeps %</t>
  </si>
  <si>
    <t>Instructor $</t>
  </si>
  <si>
    <t>TrioEdX share $</t>
  </si>
  <si>
    <t>TrioEdX net $</t>
  </si>
  <si>
    <t>Instructor's own coupon / referral link</t>
  </si>
  <si>
    <t>v3: raised from 15% to 18%. At 15% it lost money at ANY price; at 18% on the Net Revenue basis it breaks even around $1, so every course on the list clears comfortably.</t>
  </si>
  <si>
    <t>TrioEdX organic marketplace / SEO</t>
  </si>
  <si>
    <t>Udemy pays the instructor 37% of a smaller base. 50% of Net Revenue is still the loudest recruiting number.</t>
  </si>
  <si>
    <t>TrioEdX paid acquisition</t>
  </si>
  <si>
    <t>TrioEdX carries CAC and refund risk; the instructor takes no discount.   v5 NOTE (not modelled): the figure in F10 — currently $39.77 — is the CAC CEILING for this channel. Spend more than that to win the sale and it loses money. Above $13.73 of ad cost this channel earns less than the 50% organic row. CAC is deliberately not modelled yet.</t>
  </si>
  <si>
    <t>Commissioned degree course</t>
  </si>
  <si>
    <t>Alternative: a flat $2,000-5,000 build fee plus 10% royalty, with TrioEdX owning the IP.</t>
  </si>
  <si>
    <t>THE DISCOUNTING RULE   [UPDATED IN v3 — closes audit issue 5]</t>
  </si>
  <si>
    <t>• No Udemy-style permanent 90%-off sales. They train the market never to pay list price.</t>
  </si>
  <si>
    <t>• Maximum 30% off list, capped at four promotional windows a year.</t>
  </si>
  <si>
    <t>• Instructors may discount to 50% with their own coupons.</t>
  </si>
  <si>
    <t>• v3 RULE: the platform fee is charged on the PRE-DISCOUNT amount. An instructor who issues a coupon funds it entirely from their own share, as the rule always intended.</t>
  </si>
  <si>
    <t>• Build note: Tutor LMS calculates on the post-discount order total by default, so this needs a filter on the earning calculation. Verify on staging before issuing any coupon.</t>
  </si>
  <si>
    <t>• Show the instructor a line on their earnings screen reading 'coupon discount, funded by you', so the number is never a surprise.</t>
  </si>
  <si>
    <t>Pooled payout across opted-in self-paced courses only. See 'Subscription Scope'.</t>
  </si>
  <si>
    <t>Subscribers — monthly plan (6-month term)</t>
  </si>
  <si>
    <t>Subscribers — annual plan</t>
  </si>
  <si>
    <t>Monthly price</t>
  </si>
  <si>
    <t>Annual price</t>
  </si>
  <si>
    <t>Line</t>
  </si>
  <si>
    <t>Amount</t>
  </si>
  <si>
    <t>Gross monthly subscription revenue</t>
  </si>
  <si>
    <t>v4: monthly-plan subscribers are now billed ONCE per 6-month term, not every month. Fixed fees fall from one per subscriber per month to one per six.</t>
  </si>
  <si>
    <t>Net subscription revenue</t>
  </si>
  <si>
    <t>Less: TrioEdX's own costs</t>
  </si>
  <si>
    <t>Instructor pool (share of Net Revenue)</t>
  </si>
  <si>
    <t>Udemy allocates 15%. Guaranteed in writing not to fall for a course already opted in.</t>
  </si>
  <si>
    <t>TrioEdX retains, after own costs</t>
  </si>
  <si>
    <t>POOL ALLOCATION — worked example</t>
  </si>
  <si>
    <t>Instructor</t>
  </si>
  <si>
    <t>Qualified minutes</t>
  </si>
  <si>
    <t>Share</t>
  </si>
  <si>
    <t>Payout</t>
  </si>
  <si>
    <t>Instructor A</t>
  </si>
  <si>
    <t>Instructor B</t>
  </si>
  <si>
    <t>Instructor C</t>
  </si>
  <si>
    <t>All others</t>
  </si>
  <si>
    <t>Total qualified minutes</t>
  </si>
  <si>
    <t>Effective rate per 1,000 qualified minutes</t>
  </si>
  <si>
    <t>Publish monthly. This is the number the opt-in screen shows.</t>
  </si>
  <si>
    <t>ANTI-GAMING RULES</t>
  </si>
  <si>
    <t>• Only minutes after the first 5 minutes of a lesson count.</t>
  </si>
  <si>
    <t>• Cap any single instructor at 25% of the monthly pool; the excess redistributes.</t>
  </si>
  <si>
    <t>• Quiz, lab and assessment time counts; idle video with no interaction does not.</t>
  </si>
  <si>
    <t>• Minutes from an account that refunds in the same month are voided.</t>
  </si>
  <si>
    <t>• A course must hold a 4.0+ rating with 20+ reviews to draw from the pool.</t>
  </si>
  <si>
    <t>• Free courses are excluded from the pool entirely.</t>
  </si>
  <si>
    <t>MINIMUM TERM   [NEW IN v4 — closes audit issue 1]</t>
  </si>
  <si>
    <t>Option</t>
  </si>
  <si>
    <t>Committed spend</t>
  </si>
  <si>
    <t>In standard courses</t>
  </si>
  <si>
    <t>Verdict</t>
  </si>
  <si>
    <t>No minimum (v3)</t>
  </si>
  <si>
    <t>Cheaper than a single course. Every one-course buyer should subscribe instead — the catalogue is cannibalised.</t>
  </si>
  <si>
    <t>3-month minimum</t>
  </si>
  <si>
    <t>Still cheaper than a single course. Reduces the leak; does not close it.</t>
  </si>
  <si>
    <t>6-month minimum (v4 — chosen)</t>
  </si>
  <si>
    <t>Clears one course price with room. One or two courses stay cheaper bought outright; three or more favour the plan.</t>
  </si>
  <si>
    <t>Annual plan</t>
  </si>
  <si>
    <t>The healthiest ratio, and one charge a year.</t>
  </si>
  <si>
    <t>The rule: committed spend must exceed one standard course price, or the subscription competes with the catalogue instead of feeding it.</t>
  </si>
  <si>
    <t>BILLING THE TERM</t>
  </si>
  <si>
    <t>v3 — monthly billing</t>
  </si>
  <si>
    <t>v4 — one charge per term</t>
  </si>
  <si>
    <t>Charges per monthly subscriber per year</t>
  </si>
  <si>
    <t>Fixed fees per subscriber per year</t>
  </si>
  <si>
    <t>Ten fewer fixed fees a year per subscriber.</t>
  </si>
  <si>
    <t>Across the modelled monthly base</t>
  </si>
  <si>
    <t>Annual saving on fixed fees alone, before the reduction in failed payments.</t>
  </si>
  <si>
    <t>WHAT A MINIMUM TERM DOES NOT FIX</t>
  </si>
  <si>
    <t>• Binge-and-cancel. A six-month cohort consumes the catalogue and leaves at month seven unless there is something new to stay for.</t>
  </si>
  <si>
    <t xml:space="preserve">  Publish fewer than one new course a quarter and month-seven retention collapses. Content velocity is now a revenue assumption.</t>
  </si>
  <si>
    <t>• WooCommerce Subscriptions has no native minimum term. Sell it as a 6-month prepaid subscription that renews every 6 months and</t>
  </si>
  <si>
    <t xml:space="preserve">  the commitment is structural — no custom code, no early-cancellation logic to enforce.</t>
  </si>
  <si>
    <t>• The 30-day course refund window (Assumptions B96) must NOT apply to a subscription term, or the minimum term is unenforceable.</t>
  </si>
  <si>
    <t xml:space="preserve">  Cancelling stops the next renewal; it does not refund the current term. Say so on the checkout page.</t>
  </si>
  <si>
    <t>• EU/UK buyers keep a 14-day right of withdrawal on distance contracts unless they consent to immediate access at checkout.</t>
  </si>
  <si>
    <t xml:space="preserve">  Collect that consent explicitly — Quaderno is already in the stack for the VAT side.</t>
  </si>
  <si>
    <t>Author Compensation</t>
  </si>
  <si>
    <t>Two routes, split on Net Revenue.  [v5: print-on-demand and bundled-book routes removed.]</t>
  </si>
  <si>
    <t>Ebook list price (tax-inclusive)</t>
  </si>
  <si>
    <t>Route</t>
  </si>
  <si>
    <t>Author gets</t>
  </si>
  <si>
    <t>Author $</t>
  </si>
  <si>
    <t>When to use it</t>
  </si>
  <si>
    <t>1. Ebook sold on TrioEdX</t>
  </si>
  <si>
    <t>Matches KDP's 70% author share with no $9.99 ceiling and no per-MB delivery fee.</t>
  </si>
  <si>
    <t>2. Commissioned textbook (work-for-hire)</t>
  </si>
  <si>
    <t>fee + 10%</t>
  </si>
  <si>
    <t>$1,500-5,000 up front plus a 10% royalty. The only route that works for accredited curriculum.</t>
  </si>
  <si>
    <t>Author breakeven — units to match a $3,000 commission</t>
  </si>
  <si>
    <t>Ebook units to match a $3,000 commission</t>
  </si>
  <si>
    <t>v5 CHANGES</t>
  </si>
  <si>
    <t>• Removed route 2, print-on-demand. Students are not offered printed books, so the print list price and the</t>
  </si>
  <si>
    <t xml:space="preserve">  per-unit print cost have gone with it. This also removes physical fulfilment, returns and inventory from the model.</t>
  </si>
  <si>
    <t>• Removed route 3, book bundled into a course. A book is bought separately. This closes a real defect: the 8% royalty</t>
  </si>
  <si>
    <t xml:space="preserve">  was charged on the COURSE's Net Revenue and was not allocated to anyone, so it came out of TrioEdX's share. On the</t>
  </si>
  <si>
    <t xml:space="preserve">  instructor-referral channel that took the course from +$4.07 to -$1.43 — every referred sale with a bundled book lost money.</t>
  </si>
  <si>
    <t>• The print-on-demand lever on Assumptions is marked 'not offered' rather than deleted, so no cross-sheet reference breaks.</t>
  </si>
  <si>
    <t>10% vs 20% vs 30% — Against the Real Cost Base</t>
  </si>
  <si>
    <t>Take rates now apply to Net Revenue.</t>
  </si>
  <si>
    <t>Monthly gross transaction value (GTV)</t>
  </si>
  <si>
    <t>Average ticket size</t>
  </si>
  <si>
    <t>Transactions per month</t>
  </si>
  <si>
    <t>Monthly Net Revenue</t>
  </si>
  <si>
    <t>Metric</t>
  </si>
  <si>
    <t>10% take</t>
  </si>
  <si>
    <t>20% take</t>
  </si>
  <si>
    <t>30% take</t>
  </si>
  <si>
    <t>Take rate (of Net Revenue)</t>
  </si>
  <si>
    <t>TrioEdX share of Net Revenue</t>
  </si>
  <si>
    <t>Contribution margin</t>
  </si>
  <si>
    <t>Less: fixed cost</t>
  </si>
  <si>
    <t>Operating profit / (loss)</t>
  </si>
  <si>
    <t>RECOMMENDED STRUCTURE (current)</t>
  </si>
  <si>
    <t>Nearest competitor</t>
  </si>
  <si>
    <t>Their take</t>
  </si>
  <si>
    <t>1-on-1, hours 0-50</t>
  </si>
  <si>
    <t>Preply tier 1</t>
  </si>
  <si>
    <t>Undercut visibly from the first hour.</t>
  </si>
  <si>
    <t>1-on-1, hours 51-300</t>
  </si>
  <si>
    <t>Preply tier 2</t>
  </si>
  <si>
    <t>Rewards retention without gutting margin.</t>
  </si>
  <si>
    <t>1-on-1, hours 300+ (flat)</t>
  </si>
  <si>
    <t>Preply tier 3</t>
  </si>
  <si>
    <t>v5: flat 17%. Beats Preply's 18% floor at every rate, with no conditional branch.</t>
  </si>
  <si>
    <t>italki packages</t>
  </si>
  <si>
    <t>5% off, funded by the fixed-fee saving.</t>
  </si>
  <si>
    <t>Group classes</t>
  </si>
  <si>
    <t>Outschool</t>
  </si>
  <si>
    <t>Group pays the tutor more per hour once it fills.</t>
  </si>
  <si>
    <t>Course — instructor referred</t>
  </si>
  <si>
    <t>Udemy coupon</t>
  </si>
  <si>
    <t>v3: 18%. Clears cost at every price on the list.</t>
  </si>
  <si>
    <t>Course — TrioEdX organic</t>
  </si>
  <si>
    <t>Udemy organic</t>
  </si>
  <si>
    <t>The loudest instructor-recruiting number.</t>
  </si>
  <si>
    <t>Subscription pool</t>
  </si>
  <si>
    <t>Udemy pool</t>
  </si>
  <si>
    <t>Now scoped to opted-in self-paced courses only.</t>
  </si>
  <si>
    <t>Ebook</t>
  </si>
  <si>
    <t>Amazon KDP</t>
  </si>
  <si>
    <t>Matches the 70% author share authors anchor on.</t>
  </si>
  <si>
    <t>Sourced Benchmarks</t>
  </si>
  <si>
    <t>Verified August-September 2026.</t>
  </si>
  <si>
    <t>Platform</t>
  </si>
  <si>
    <t>What they take / pay</t>
  </si>
  <si>
    <t>Category</t>
  </si>
  <si>
    <t>Source</t>
  </si>
  <si>
    <t>Preply</t>
  </si>
  <si>
    <t>33% (0-20 hrs) / 28% (20+) / 18% (400+); 100% of every trial lesson</t>
  </si>
  <si>
    <t>1-on-1</t>
  </si>
  <si>
    <t>help.preply.com/en/articles/4171383-preply-commission-model</t>
  </si>
  <si>
    <t>Preply cancellations</t>
  </si>
  <si>
    <t>Cancel &gt;12h ahead and the lesson returns to balance; inside 12h the tutor is paid</t>
  </si>
  <si>
    <t>Cancellation</t>
  </si>
  <si>
    <t>help.preply.com/en/articles/4179413-cancellation-policy-for-students</t>
  </si>
  <si>
    <t>italki</t>
  </si>
  <si>
    <t>~21% on single 1:1 lessons, lower on prepaid packages; ~30% group. Community-reported.</t>
  </si>
  <si>
    <t>Packages</t>
  </si>
  <si>
    <t>pensight.com/post/italki-commission-teachers</t>
  </si>
  <si>
    <t>Wyzant</t>
  </si>
  <si>
    <t>25% platform fee</t>
  </si>
  <si>
    <t>supatutor.in/how-much-does-wyzant-take-from-tutors/</t>
  </si>
  <si>
    <t>30% take rate; teacher receives 70% of class price</t>
  </si>
  <si>
    <t>support.outschool.com/en/articles/2382129-teacher-earnings-and-payments-policy</t>
  </si>
  <si>
    <t>Udemy</t>
  </si>
  <si>
    <t>97% on own coupon/referral; 37% on Udemy organic; 80% on Connect 1:1 coaching</t>
  </si>
  <si>
    <t>support.udemy.com/hc/en-us/articles/229605008-Instructor-revenue-share</t>
  </si>
  <si>
    <t>Udemy Business</t>
  </si>
  <si>
    <t>15% of subscription revenue forms the instructor pool, split by minutes consumed</t>
  </si>
  <si>
    <t>support.udemy.com/hc/en-us/articles/115013221767</t>
  </si>
  <si>
    <t>Udemy refunds</t>
  </si>
  <si>
    <t>30-day window; instructors paid after it closes, so the delay enforces the policy</t>
  </si>
  <si>
    <t>Refunds</t>
  </si>
  <si>
    <t>support.udemy.com/hc/en-us/articles/360050856093-Udemy-s-Refund-Policy</t>
  </si>
  <si>
    <t>70% ebook royalty at $2.99-$9.99 less $0.15/MB; print = 60% of list less print cost</t>
  </si>
  <si>
    <t>Books</t>
  </si>
  <si>
    <t>kdpeasy.com/guides/2026-kdp-royalty-rates</t>
  </si>
  <si>
    <t>Online tutoring rates</t>
  </si>
  <si>
    <t>Median EUR 25/hr math &amp; English; EUR 28-30 CS and programming</t>
  </si>
  <si>
    <t>Rate benchmark</t>
  </si>
  <si>
    <t>itutoronline.com/research/online-tutoring-rates-2026</t>
  </si>
  <si>
    <t>US online associate degrees</t>
  </si>
  <si>
    <t>$1,380-$5,220/yr among the cheapest; median $3,330/yr</t>
  </si>
  <si>
    <t>Degree pricing</t>
  </si>
  <si>
    <t>onlineu.com/most-affordable-colleges/associate-degrees</t>
  </si>
  <si>
    <t>WooPayments (US)</t>
  </si>
  <si>
    <t>2.9% + $0.30; +1% international; +2% currency conversion; $15 dispute</t>
  </si>
  <si>
    <t>Gateway</t>
  </si>
  <si>
    <t>woocommerce.com/document/woopayments/fees/</t>
  </si>
  <si>
    <t>WooCommerce</t>
  </si>
  <si>
    <t>$0 platform fee</t>
  </si>
  <si>
    <t>woocommerce.com/pricing/</t>
  </si>
  <si>
    <t>Tutor LMS</t>
  </si>
  <si>
    <t>ONE global commission percentage. Fees deducted BEFORE the split — which is what the Net Revenue basis needs.</t>
  </si>
  <si>
    <t>Implementation</t>
  </si>
  <si>
    <t>tutorlms.com/docs/tutor-lms-settings-monetization/</t>
  </si>
  <si>
    <t>Wise vs Payoneer (PK)</t>
  </si>
  <si>
    <t>Wise ~0.4-0.7%; Payoneer ~2% into PKR. Stripe does not pay out to Pakistan.</t>
  </si>
  <si>
    <t>Payout cost</t>
  </si>
  <si>
    <t>xpezia.com.pk/blog/payoneer-vs-wise-pakistan-best-payment-platform-for-freelancers-2026/</t>
  </si>
  <si>
    <t>Refunds, Cancellation &amp; Payout Hold   [NEW IN v4]</t>
  </si>
  <si>
    <t>One page covering all four revenue lines. v3 had no refund policy anywhere in the workbook.</t>
  </si>
  <si>
    <t>Revenue line</t>
  </si>
  <si>
    <t>Refund window</t>
  </si>
  <si>
    <t>Who bears the cost</t>
  </si>
  <si>
    <t>Payout released</t>
  </si>
  <si>
    <t>Self-paced courses</t>
  </si>
  <si>
    <t>30 days, no questions</t>
  </si>
  <si>
    <t>Instructor (unpaid)</t>
  </si>
  <si>
    <t>The window closes before anyone is paid, so the refund costs the instructor their share and TrioEdX the processing.</t>
  </si>
  <si>
    <t>Professional certificate</t>
  </si>
  <si>
    <t>30 days OR first assessment, whichever is first</t>
  </si>
  <si>
    <t>Once assessed work has been submitted the credential process has begun and the sale stands.</t>
  </si>
  <si>
    <t>Associate-degree course</t>
  </si>
  <si>
    <t>14 days from term start</t>
  </si>
  <si>
    <t>Shared</t>
  </si>
  <si>
    <t>Academic drop windows are shorter than consumer ones and are set by the term calendar, not the purchase date.</t>
  </si>
  <si>
    <t>Group class / cohort</t>
  </si>
  <si>
    <t>Full before session 1; pro-rata to end of session 2; none after</t>
  </si>
  <si>
    <t>TrioEdX</t>
  </si>
  <si>
    <t>After session 2</t>
  </si>
  <si>
    <t>v4 addition. The 12-hour rule cannot govern a multi-week cohort — the seat was held and the cohort was sized around it.</t>
  </si>
  <si>
    <t>1-on-1 single lesson</t>
  </si>
  <si>
    <t>12-hour cancellation rule</t>
  </si>
  <si>
    <t>Student inside 12h</t>
  </si>
  <si>
    <t>Day 31 (see warning)</t>
  </si>
  <si>
    <t>1-on-1 10-hour pack — student cancels</t>
  </si>
  <si>
    <t>Any time, on unused hours</t>
  </si>
  <si>
    <t>Student forfeits the discount</t>
  </si>
  <si>
    <t>Refund = amount paid less hours used at the FULL rate. Never exceeds what was paid.</t>
  </si>
  <si>
    <t>1-on-1 10-hour pack — tutor unavailable</t>
  </si>
  <si>
    <t>Immediate, on unused hours</t>
  </si>
  <si>
    <t>n/a</t>
  </si>
  <si>
    <t>Rule 4. Unused hours at the rate actually paid, processing absorbed. Charged against the tutor's balance where one exists.</t>
  </si>
  <si>
    <t>Subscription term</t>
  </si>
  <si>
    <t>No refund of the current term</t>
  </si>
  <si>
    <t>Monthly pool</t>
  </si>
  <si>
    <t>Cancelling stops the next renewal. The 30-day course window must NOT apply here or the 6-month minimum is unenforceable. EU/UK buyers keep a 14-day withdrawal right unless they consent to immediate access at checkout.</t>
  </si>
  <si>
    <t>Author (unpaid)</t>
  </si>
  <si>
    <t>Same shape as courses.</t>
  </si>
  <si>
    <t>THE TWO THINGS THAT COST MONEY</t>
  </si>
  <si>
    <t>Fact</t>
  </si>
  <si>
    <t>Consequence</t>
  </si>
  <si>
    <t>Processing fees are NOT returned on a refund</t>
  </si>
  <si>
    <t>WooPayments: 'the fees paid on that transaction are not refunded to your WooPayments account.' Every refunded $79 course is a $4.01 cash loss, not a wash. Test the 4% reserve on Assumptions B31 against actuals early — paid-acquisition traffic refunds well above organic.</t>
  </si>
  <si>
    <t>The payout hold is ONE global setting</t>
  </si>
  <si>
    <t>Tutor LMS's 'minimum days for balance to be available' cannot differ by product. Setting it to 30 to fund course refunds holds TUTOR money 30 days too, though a live session has only a 12-hour exposure. Preply confirms a classroom lesson about 15 minutes after it ends and the tutor withdraws immediately. This is a tutor-recruitment problem, not an accounting one.</t>
  </si>
  <si>
    <t>OPTIONS ON THE PAYOUT HOLD — pick one before launch</t>
  </si>
  <si>
    <t>A. Accept 30 days globally. Free. State it plainly on the tutor signup page rather than letting tutors discover it.</t>
  </si>
  <si>
    <t>B. Set the global hold to 3 days for live work and hold course earnings by a separate mechanism. Custom code — add to the</t>
  </si>
  <si>
    <t xml:space="preserve">   dev-day count in the WooCommerce build model.</t>
  </si>
  <si>
    <t>C. Two payout tracks, per product type. The cleanest and the most expensive.</t>
  </si>
  <si>
    <t>Recommendation: A at launch, B once tutor supply becomes the constraint. Do not discover this after signing 50 tutors.</t>
  </si>
  <si>
    <t>BUILD NOTES</t>
  </si>
  <si>
    <t>• Tutor LMS: Settings &gt; Monetization &gt; 'Minimum days for balance to be available' = 30.</t>
  </si>
  <si>
    <t>• The 30-day window must be excluded for subscription terms in WooCommerce Subscriptions, or the minimum term is void.</t>
  </si>
  <si>
    <t>• Group-class pro-rata refunds need a per-session completion flag; Tutor LMS has no cohort progress concept. Custom code.</t>
  </si>
  <si>
    <t>• Package refunds need an unused-hours ledger per student per tutor. Custom code, and it is the same ledger rule 4 depends on.</t>
  </si>
  <si>
    <t>SOURCES</t>
  </si>
  <si>
    <t>WooPayments — why aren't fees refunded:  woocommerce.com/document/woopayments/fees-and-debits/why-arent-fees-refunded/</t>
  </si>
  <si>
    <t>Preply — when and how you get paid:  help.preply.com/en/articles/4171348-when-and-how-you-get-paid-for-lessons</t>
  </si>
  <si>
    <t>Preply — cancellation policy:  help.preply.com/en/articles/4179413-cancellation-policy-for-students</t>
  </si>
  <si>
    <t>Udemy — refund policy:  support.udemy.com/hc/en-us/articles/360050856093-Udemy-s-Refund-Policy</t>
  </si>
  <si>
    <t>v5 Change Log</t>
  </si>
  <si>
    <t>Books simplified, tier 3 flattened to 17%, and the break-even block rewritten to show contribution.</t>
  </si>
  <si>
    <t>Date &amp; Time update: 2026/09/07 23:54</t>
  </si>
  <si>
    <t>S.I.</t>
  </si>
  <si>
    <t>Issue raised against v4</t>
  </si>
  <si>
    <t>Where changed</t>
  </si>
  <si>
    <t>What was done</t>
  </si>
  <si>
    <t>1</t>
  </si>
  <si>
    <t>Print-on-demand route not offered to students</t>
  </si>
  <si>
    <t>Books &amp; Authors 5, 6, 10, 16; Assumptions 67</t>
  </si>
  <si>
    <t>Route 2 (print-on-demand) removed, with the print list price, per-unit print cost and print break-even. The Assumptions lever is marked 'not offered' rather than deleted, so the references below it stay valid. Removes physical fulfilment, returns and inventory from the model.</t>
  </si>
  <si>
    <t>2</t>
  </si>
  <si>
    <t>Bundled-book royalty was unallocated and lost money</t>
  </si>
  <si>
    <t>Books &amp; Authors 11</t>
  </si>
  <si>
    <t>Route 3 (book bundled into a course) removed; a book is bought separately. This closes the worst defect in v4: the 8% royalty was charged on the COURSE's Net Revenue and belonged to nobody, so it came out of TrioEdX's share. On the instructor-referral channel it took a sale from +$4.07 to -$1.43. Books now has two routes: ebook, and commissioned textbook.</t>
  </si>
  <si>
    <t>3</t>
  </si>
  <si>
    <t>No CAC anywhere in the model</t>
  </si>
  <si>
    <t>Courses G10 — note only</t>
  </si>
  <si>
    <t>DEFERRED by decision. A note records that TrioEdX net on the paid-acquisition row ($39.77) is that channel's CAC ceiling, and that above $13.73 of ad cost it earns less than the organic row. Nothing is modelled.</t>
  </si>
  <si>
    <t>4</t>
  </si>
  <si>
    <t>Tier 3 conditional on an $18/hr floor</t>
  </si>
  <si>
    <t>Assumptions 55-57; 1-on-1 Tutoring 11-18, 23; Take Rate Compare 21-22</t>
  </si>
  <si>
    <t>Tier 3 is now a FLAT 17%. The floor and the 20% below-floor branch are retired. The floor rested on a $17.65/hr break-even carried over from v2's gross-price basis; on Net Revenue 17% breaks even near $0.86/hr, so the whole band is profitable. At $30/hr TrioEdX keeps $1.72 (5.7%) instead of $1.20 (4.0%).</t>
  </si>
  <si>
    <t>5</t>
  </si>
  <si>
    <t>Group-class seat economics</t>
  </si>
  <si>
    <t>IGNORED by decision. One seat still pays the tutor $8.18 per teaching hour against $21.59 on 1-on-1 tier 3; three seats is where a cohort becomes worth a tutor's time. Logged as an accepted open risk.</t>
  </si>
  <si>
    <t>6</t>
  </si>
  <si>
    <t>'Minimum viable price' read as a pricing floor</t>
  </si>
  <si>
    <t>Payment Economics 14-29</t>
  </si>
  <si>
    <t>Retitled as variable-cost break-even, with contribution per transaction and the sales-per-month needed to cover fixed cost beside it. The break-even figure alone said a $1 course was viable; the contribution column says what a sale is worth.</t>
  </si>
  <si>
    <t>7</t>
  </si>
  <si>
    <t>No cap on trial lessons per student</t>
  </si>
  <si>
    <t>IGNORED by decision. Logged as an accepted open risk.</t>
  </si>
  <si>
    <t>STILL OPEN AFTER v5</t>
  </si>
  <si>
    <t>• Nothing in the workbook recovers the $3,374/month fixed cost, and Take Rate Compare still models flat 10/20/30% takes</t>
  </si>
  <si>
    <t xml:space="preserve">  that the model no longer uses. Its headline conclusion tests a business TrioEdX does not run. Needs a blended-mix P&amp;L.</t>
  </si>
  <si>
    <t>• Declined and logged: certificate vs its component courses; tier-3 floor vs the pack discount (now moot); group-class</t>
  </si>
  <si>
    <t xml:space="preserve">  no-minimum seat count; no trial-lesson cap; CAC not modelled.</t>
  </si>
  <si>
    <t>• Tutor LMS supports ONE global commission percentage and ONE global payout hold — the ladder, the channel split, the</t>
  </si>
  <si>
    <t xml:space="preserve">  per-product hold and the package hours ledger all still need custom code.</t>
  </si>
  <si>
    <t>• The blended tax rate in Assumptions B17 is still an estimate. Replace it with Quaderno's actual figure.</t>
  </si>
  <si>
    <t>• The associate degree is still not priced per credit — see the Action Item tab.</t>
  </si>
  <si>
    <t>Four of the six issues raised against v3 were actioned. Two were declined by decision.</t>
  </si>
  <si>
    <t>Date &amp; Time update: 2026/09/07 18:36</t>
  </si>
  <si>
    <t>Issue raised against v3</t>
  </si>
  <si>
    <t>Monthly subscription cannibalised the catalogue</t>
  </si>
  <si>
    <t>Assumptions 71-78; Subscription 36-59; Price List</t>
  </si>
  <si>
    <t>6-month minimum term, billed as ONE charge per term. $114 committed = 1.44 standard courses, so the plan no longer undercuts a single $79 course. Three months ($57) would not have cleared it. Subscription B12 now charges one fixed fee per term instead of twelve a year.</t>
  </si>
  <si>
    <t>Certificate excluded but its component courses included</t>
  </si>
  <si>
    <t>IGNORED by decision. A subscriber still reaches every component course of a $299 certificate for $180/yr and misses only the credential. Logged as an accepted open risk.</t>
  </si>
  <si>
    <t>Tax rate squeezes margin twice</t>
  </si>
  <si>
    <t>Assumptions 80-91</t>
  </si>
  <si>
    <t>Sensitivity table at 0 / 8 / 15 / 20% tax. Flagged for quarterly review against Quaderno's actual blended figure, and flagged as a live input to instructor payouts — actual per-transaction tax should drive the payout engine, not the blend.</t>
  </si>
  <si>
    <t>$18 tier-3 floor collides with the 5% pack discount</t>
  </si>
  <si>
    <t>IGNORED by decision. A tutor listing between $18.00 and $18.94/hr still has a 10-pack effective rate below the floor. Logged as an accepted open risk.</t>
  </si>
  <si>
    <t>No refund policy anywhere in the workbook</t>
  </si>
  <si>
    <t>Assumptions 94-110; new tab 'Refunds &amp; Payouts'</t>
  </si>
  <si>
    <t>30-day course window, earnings released day 31, 12-hour live cancellation rule, Tutor LMS hold set to 30. Added the group-class withdrawal rule, which the recommendation did not cover, and the WooPayments fact that fees are not returned on a refund. Flagged that the 30-day hold is one global setting and delays tutors too.</t>
  </si>
  <si>
    <t>No rule for prepaid hours when a tutor leaves</t>
  </si>
  <si>
    <t>Assumptions 104-105; Lesson Packages 26-49</t>
  </si>
  <si>
    <t>Rule 4 added. CHANGED FROM THE WORDING PROPOSED: 'refunded in full at the undiscounted rate' pays out more than the student paid — a $25/hr 10-pack costs $237.50 and ten unused hours at $25 is $250. Built as unused hours at the rate actually paid, which keeps the student whole with no leak. The 'as worded' column on Lesson Packages shows the cost of the literal version so the change can be reversed knowingly.</t>
  </si>
  <si>
    <t>STILL OPEN AFTER v4</t>
  </si>
  <si>
    <t>• Issue 2 (certificate vs its component courses) and issue 4 (tier-3 floor vs the pack discount) — declined, logged.</t>
  </si>
  <si>
    <t>• Group class no-minimum risk — declined in v3, still open.</t>
  </si>
  <si>
    <t>• Tutor LMS supports ONE global commission percentage and ONE global payout hold. The tiered ladder, the channel split,</t>
  </si>
  <si>
    <t xml:space="preserve">  the per-product payout hold and the package hours ledger all need custom code.</t>
  </si>
  <si>
    <t>• The blended tax rate in Assumptions B17 is still an estimate. Replace it with Quaderno's actual within the first quarter.</t>
  </si>
  <si>
    <t>• Rule 4 needs a written definition of 'tutor unavailable' before it can be enforced.</t>
  </si>
  <si>
    <t>• Nothing in this workbook prices the associate degree per credit. That sits on the Action Items tab as a critical item.</t>
  </si>
  <si>
    <t>v3 Change Log</t>
  </si>
  <si>
    <t>Every change, and the audit issue it closes.</t>
  </si>
  <si>
    <t>Date &amp; Time update: 2026/09/07 18:31</t>
  </si>
  <si>
    <t>Issue</t>
  </si>
  <si>
    <t>Subscription undercut the catalogue</t>
  </si>
  <si>
    <t>New tab 'Subscription Scope'; Price List col F</t>
  </si>
  <si>
    <t>All-access now covers self-paced catalogue courses only, opt-in per course. Certificates, degree courses, group classes and 1-on-1 all excluded and marked NO on the Price List. Opt-in shows the instructor a real earnings estimate before they commit, and the pool share is guaranteed not to fall for an enrolled course.</t>
  </si>
  <si>
    <t>15% course referral lost money at every price</t>
  </si>
  <si>
    <t>Assumptions, take rate levers; Courses</t>
  </si>
  <si>
    <t>Raised to 18% as instructed. At 15% the channel lost money at any price; at 18% on the Net Revenue basis it breaks even near $1, so every course on the Price List clears comfortably.</t>
  </si>
  <si>
    <t>15% top tutoring tier vs the $6-20 rate band</t>
  </si>
  <si>
    <t>Assumptions (3 new levers); 1-on-1 Tutoring</t>
  </si>
  <si>
    <t>Tier 3 is now conditional: 15% at or above an $18/hr floor, 20% below it. The 1-on-1 tab computes which rate applies from the tutor's own hourly rate.</t>
  </si>
  <si>
    <t>Tax-inclusive vs exclusive undecided</t>
  </si>
  <si>
    <t>Assumptions 'Tax &amp; Revenue Basis'; every economics tab</t>
  </si>
  <si>
    <t>Prices are tax-inclusive. Every split is computed on Net Revenue = gross less tax less processing. Every tab now shows the full waterfall. Biggest structural change in v3 — instructors earn less than on the old gross basis, which must be explained in the agreement.</t>
  </si>
  <si>
    <t>Coupon discounts cut TrioEdX's revenue too</t>
  </si>
  <si>
    <t>Courses, discounting rule</t>
  </si>
  <si>
    <t>The platform fee is now charged on the pre-discount amount, so an instructor funds their own coupon entirely. Build note included: Tutor LMS defaults to post-discount and needs a filter.</t>
  </si>
  <si>
    <t>No-minimum group class, uncapped top-up</t>
  </si>
  <si>
    <t>NOT implemented, by decision. Logged as an accepted open risk in red on the Group Classes tab, with the consequence to watch, so it stays visible and revisitable.</t>
  </si>
  <si>
    <t>+</t>
  </si>
  <si>
    <t>Lesson packages missing</t>
  </si>
  <si>
    <t>New tab 'Lesson Packages'</t>
  </si>
  <si>
    <t>Two options only: pay as you go, or a 10-hour pack at 5% off. The three rules a package needs — expiry, partial-refund basis and which tier applies — are set out with default values.</t>
  </si>
  <si>
    <t>STILL OPEN</t>
  </si>
  <si>
    <t>• Group class no-minimum risk (issue 6) — declined, logged.</t>
  </si>
  <si>
    <t>• Tutor LMS supports one global commission percentage, so the tiered ladder, the conditional tier-3 floor and the channel split all still need custom code.</t>
  </si>
  <si>
    <t>• The blended tax rate on Assumptions is an estimate. Replace it with the real figure once Quaderno is reporting.</t>
  </si>
  <si>
    <t xml:space="preserve">Action Items </t>
  </si>
  <si>
    <t xml:space="preserve">{Please fill in} </t>
  </si>
  <si>
    <t>In-Progress</t>
  </si>
  <si>
    <t>Completed</t>
  </si>
  <si>
    <t>Postponed</t>
  </si>
  <si>
    <t>????</t>
  </si>
  <si>
    <t>Log Date</t>
  </si>
  <si>
    <t>Tasks / Activities / Action items</t>
  </si>
  <si>
    <t>Target Date</t>
  </si>
  <si>
    <t>Current Owner</t>
  </si>
  <si>
    <t>Priority</t>
  </si>
  <si>
    <t>Status</t>
  </si>
  <si>
    <t>Comments/Action Needed</t>
  </si>
  <si>
    <t>In future add the flat fee for $100/credit hours for ucjersey.com associate degress</t>
  </si>
  <si>
    <t>1. Critical</t>
  </si>
  <si>
    <t>{Please fill in}</t>
  </si>
  <si>
    <t>Add zones at one point (file ref. with zone is "TrioEdX_Pricing_Revenue_Share_Model_WooCommerce v1.xlsx")</t>
  </si>
  <si>
    <t>2. High</t>
  </si>
  <si>
    <t>WooPayments (used)</t>
  </si>
  <si>
    <t>Stripe direct (refernece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</si>
</sst>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quot;($&quot;#,##0.00\);\-"/>
    <numFmt numFmtId="166" formatCode="\$#,##0;&quot;($&quot;#,##0\);\-"/>
    <numFmt numFmtId="167" formatCode="\$#,##0.00"/>
    <numFmt numFmtId="168" formatCode="#,##0.0"/>
    <numFmt numFmtId="169" formatCode="0.0"/>
  </numFmts>
  <fonts count="33" x14ac:knownFonts="1">
    <font>
      <sz val="11"/>
      <color theme="1"/>
      <name val="Calibri"/>
      <family val="2"/>
      <charset val="1"/>
    </font>
    <font>
      <b/>
      <sz val="14"/>
      <color rgb="FF8C1528"/>
      <name val="Arial"/>
      <charset val="1"/>
    </font>
    <font>
      <i/>
      <sz val="10"/>
      <color rgb="FF555555"/>
      <name val="Arial"/>
      <charset val="1"/>
    </font>
    <font>
      <b/>
      <sz val="11"/>
      <color rgb="FF8C1528"/>
      <name val="Arial"/>
      <charset val="1"/>
    </font>
    <font>
      <sz val="10"/>
      <name val="Arial"/>
      <charset val="1"/>
    </font>
    <font>
      <b/>
      <sz val="10"/>
      <name val="Arial"/>
      <charset val="1"/>
    </font>
    <font>
      <b/>
      <sz val="11"/>
      <color rgb="FF8C1528"/>
      <name val="Cambria"/>
      <charset val="1"/>
    </font>
    <font>
      <b/>
      <sz val="10"/>
      <name val="Cambria"/>
      <charset val="1"/>
    </font>
    <font>
      <sz val="10"/>
      <color rgb="FF555555"/>
      <name val="Cambria"/>
      <charset val="1"/>
    </font>
    <font>
      <b/>
      <sz val="10"/>
      <color rgb="FFFFFFFF"/>
      <name val="Arial"/>
      <charset val="1"/>
    </font>
    <font>
      <sz val="10"/>
      <color rgb="FF0000FF"/>
      <name val="Arial"/>
      <charset val="1"/>
    </font>
    <font>
      <b/>
      <sz val="10"/>
      <color rgb="FF0070C0"/>
      <name val="Arial"/>
      <charset val="1"/>
    </font>
    <font>
      <sz val="10"/>
      <color rgb="FF008000"/>
      <name val="Arial"/>
      <charset val="1"/>
    </font>
    <font>
      <sz val="10"/>
      <color rgb="FF0000FF"/>
      <name val="Cambria"/>
      <charset val="1"/>
    </font>
    <font>
      <i/>
      <sz val="10"/>
      <color rgb="FF999999"/>
      <name val="Cambria"/>
      <charset val="1"/>
    </font>
    <font>
      <b/>
      <sz val="10"/>
      <color rgb="FFFFFFFF"/>
      <name val="Cambria"/>
      <charset val="1"/>
    </font>
    <font>
      <sz val="10"/>
      <color rgb="FF008000"/>
      <name val="Cambria"/>
      <charset val="1"/>
    </font>
    <font>
      <b/>
      <sz val="11"/>
      <color rgb="FFB23A26"/>
      <name val="Arial"/>
      <charset val="1"/>
    </font>
    <font>
      <b/>
      <sz val="13"/>
      <color rgb="FF8C1528"/>
      <name val="Cambria"/>
      <charset val="1"/>
    </font>
    <font>
      <b/>
      <sz val="20"/>
      <color theme="1" tint="0.49977111117893003"/>
      <name val="Calibri"/>
      <family val="2"/>
      <charset val="1"/>
    </font>
    <font>
      <i/>
      <sz val="11"/>
      <color theme="1"/>
      <name val="Calibri"/>
      <family val="2"/>
      <charset val="1"/>
    </font>
    <font>
      <b/>
      <sz val="9"/>
      <color theme="9" tint="0.79979857783745845"/>
      <name val="Verdana"/>
      <family val="2"/>
      <charset val="1"/>
    </font>
    <font>
      <b/>
      <sz val="9"/>
      <color theme="0"/>
      <name val="Verdana"/>
      <family val="2"/>
      <charset val="1"/>
    </font>
    <font>
      <b/>
      <sz val="9"/>
      <color theme="8" tint="-0.499984740745262"/>
      <name val="Verdana"/>
      <family val="2"/>
      <charset val="1"/>
    </font>
    <font>
      <b/>
      <sz val="9"/>
      <color theme="5" tint="-0.249977111117893"/>
      <name val="Verdana"/>
      <family val="2"/>
      <charset val="1"/>
    </font>
    <font>
      <b/>
      <sz val="9"/>
      <color rgb="FFFF0000"/>
      <name val="Verdana"/>
      <family val="2"/>
      <charset val="1"/>
    </font>
    <font>
      <b/>
      <sz val="10"/>
      <color theme="0"/>
      <name val="Calibri"/>
      <family val="2"/>
      <charset val="1"/>
    </font>
    <font>
      <sz val="10"/>
      <color theme="1"/>
      <name val="Calibri"/>
      <family val="2"/>
      <charset val="1"/>
    </font>
    <font>
      <sz val="10"/>
      <name val="Calibri"/>
      <family val="2"/>
      <charset val="1"/>
    </font>
    <font>
      <sz val="9"/>
      <color rgb="FF000000"/>
      <name val="Calibri"/>
      <family val="2"/>
      <charset val="1"/>
    </font>
    <font>
      <strike/>
      <sz val="10"/>
      <name val="Calibri"/>
      <family val="2"/>
      <charset val="1"/>
    </font>
    <font>
      <sz val="10"/>
      <name val="Arial"/>
      <family val="2"/>
    </font>
    <font>
      <sz val="11"/>
      <color theme="1"/>
      <name val="Calibri"/>
      <family val="2"/>
      <charset val="1"/>
    </font>
  </fonts>
  <fills count="16">
    <fill>
      <patternFill patternType="none"/>
    </fill>
    <fill>
      <patternFill patternType="gray125"/>
    </fill>
    <fill>
      <patternFill patternType="solid">
        <fgColor rgb="FF8C1528"/>
        <bgColor rgb="FF953735"/>
      </patternFill>
    </fill>
    <fill>
      <patternFill patternType="solid">
        <fgColor rgb="FFFFFF00"/>
        <bgColor rgb="FFFFC000"/>
      </patternFill>
    </fill>
    <fill>
      <patternFill patternType="solid">
        <fgColor rgb="FFF2E3B8"/>
        <bgColor rgb="FFF7D9D2"/>
      </patternFill>
    </fill>
    <fill>
      <patternFill patternType="solid">
        <fgColor rgb="FFDCEBE2"/>
        <bgColor rgb="FFDCE6F1"/>
      </patternFill>
    </fill>
    <fill>
      <patternFill patternType="solid">
        <fgColor rgb="FFF2DCDB"/>
        <bgColor rgb="FFF7D9D2"/>
      </patternFill>
    </fill>
    <fill>
      <patternFill patternType="solid">
        <fgColor rgb="FFDCE6F1"/>
        <bgColor rgb="FFDCEBE2"/>
      </patternFill>
    </fill>
    <fill>
      <patternFill patternType="solid">
        <fgColor rgb="FFFFF2CC"/>
        <bgColor rgb="FFFDEADA"/>
      </patternFill>
    </fill>
    <fill>
      <patternFill patternType="solid">
        <fgColor rgb="FFF7D9D2"/>
        <bgColor rgb="FFF2DCDB"/>
      </patternFill>
    </fill>
    <fill>
      <patternFill patternType="solid">
        <fgColor rgb="FFFBF3EA"/>
        <bgColor rgb="FFFDEADA"/>
      </patternFill>
    </fill>
    <fill>
      <patternFill patternType="solid">
        <fgColor rgb="FF00B050"/>
        <bgColor rgb="FF008080"/>
      </patternFill>
    </fill>
    <fill>
      <patternFill patternType="solid">
        <fgColor rgb="FF92D050"/>
        <bgColor rgb="FFBFBFBF"/>
      </patternFill>
    </fill>
    <fill>
      <patternFill patternType="solid">
        <fgColor theme="9" tint="0.59978026673177287"/>
        <bgColor rgb="FFF7D9D2"/>
      </patternFill>
    </fill>
    <fill>
      <patternFill patternType="solid">
        <fgColor rgb="FFFF0000"/>
        <bgColor rgb="FFC00000"/>
      </patternFill>
    </fill>
    <fill>
      <patternFill patternType="solid">
        <fgColor rgb="FF0070C0"/>
        <bgColor rgb="FF008080"/>
      </patternFill>
    </fill>
  </fills>
  <borders count="4">
    <border>
      <left/>
      <right/>
      <top/>
      <bottom/>
      <diagonal/>
    </border>
    <border>
      <left style="thin">
        <color rgb="FFD9D2C8"/>
      </left>
      <right style="thin">
        <color rgb="FFD9D2C8"/>
      </right>
      <top style="thin">
        <color rgb="FFD9D2C8"/>
      </top>
      <bottom style="thin">
        <color rgb="FFD9D2C8"/>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s>
  <cellStyleXfs count="2">
    <xf numFmtId="0" fontId="0" fillId="0" borderId="0"/>
    <xf numFmtId="0" fontId="32" fillId="0" borderId="0"/>
  </cellStyleXfs>
  <cellXfs count="132">
    <xf numFmtId="0" fontId="0" fillId="0" borderId="0" xfId="0"/>
    <xf numFmtId="0" fontId="2" fillId="0" borderId="0" xfId="0" applyFont="1" applyAlignment="1">
      <alignment vertical="top" wrapText="1"/>
    </xf>
    <xf numFmtId="0" fontId="4" fillId="0" borderId="0" xfId="0" applyFont="1" applyAlignment="1">
      <alignment vertical="top" wrapText="1"/>
    </xf>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applyAlignment="1">
      <alignment vertical="top" wrapText="1"/>
    </xf>
    <xf numFmtId="0" fontId="8" fillId="0" borderId="0" xfId="0" applyFont="1"/>
    <xf numFmtId="0" fontId="9" fillId="2" borderId="1" xfId="0" applyFont="1" applyFill="1" applyBorder="1" applyAlignment="1">
      <alignment horizontal="center" vertical="center" wrapText="1"/>
    </xf>
    <xf numFmtId="164" fontId="10" fillId="0" borderId="0" xfId="0" applyNumberFormat="1" applyFont="1"/>
    <xf numFmtId="165" fontId="10" fillId="0" borderId="0" xfId="0" applyNumberFormat="1" applyFont="1"/>
    <xf numFmtId="164" fontId="10" fillId="3" borderId="0" xfId="0" applyNumberFormat="1" applyFont="1" applyFill="1"/>
    <xf numFmtId="10" fontId="5" fillId="4" borderId="0" xfId="0" applyNumberFormat="1" applyFont="1" applyFill="1"/>
    <xf numFmtId="0" fontId="11" fillId="5" borderId="0" xfId="0" applyFont="1" applyFill="1"/>
    <xf numFmtId="164" fontId="12" fillId="0" borderId="0" xfId="0" applyNumberFormat="1" applyFont="1"/>
    <xf numFmtId="164" fontId="5" fillId="4" borderId="0" xfId="0" applyNumberFormat="1" applyFont="1" applyFill="1"/>
    <xf numFmtId="166" fontId="10" fillId="0" borderId="0" xfId="0" applyNumberFormat="1" applyFont="1"/>
    <xf numFmtId="166" fontId="5" fillId="4" borderId="0" xfId="0" applyNumberFormat="1" applyFont="1" applyFill="1"/>
    <xf numFmtId="0" fontId="11" fillId="0" borderId="0" xfId="0" applyFont="1"/>
    <xf numFmtId="164" fontId="13" fillId="6" borderId="0" xfId="0" applyNumberFormat="1" applyFont="1" applyFill="1"/>
    <xf numFmtId="0" fontId="14" fillId="0" borderId="0" xfId="0" applyFont="1"/>
    <xf numFmtId="164" fontId="14" fillId="6" borderId="0" xfId="0" applyNumberFormat="1" applyFont="1" applyFill="1"/>
    <xf numFmtId="165" fontId="14" fillId="6" borderId="0" xfId="0" applyNumberFormat="1" applyFont="1" applyFill="1"/>
    <xf numFmtId="164" fontId="10" fillId="5" borderId="0" xfId="0" applyNumberFormat="1" applyFont="1" applyFill="1"/>
    <xf numFmtId="0" fontId="15" fillId="2" borderId="2" xfId="0" applyFont="1" applyFill="1" applyBorder="1" applyAlignment="1">
      <alignment horizontal="center" vertical="center" wrapText="1"/>
    </xf>
    <xf numFmtId="1" fontId="13" fillId="7" borderId="0" xfId="0" applyNumberFormat="1" applyFont="1" applyFill="1"/>
    <xf numFmtId="167" fontId="16" fillId="7" borderId="0" xfId="0" applyNumberFormat="1" applyFont="1" applyFill="1"/>
    <xf numFmtId="2" fontId="16" fillId="7" borderId="0" xfId="0" applyNumberFormat="1" applyFont="1" applyFill="1"/>
    <xf numFmtId="164" fontId="13" fillId="7" borderId="0" xfId="0" applyNumberFormat="1" applyFont="1" applyFill="1"/>
    <xf numFmtId="167" fontId="16" fillId="0" borderId="0" xfId="0" applyNumberFormat="1" applyFont="1"/>
    <xf numFmtId="164" fontId="16" fillId="0" borderId="0" xfId="0" applyNumberFormat="1" applyFont="1"/>
    <xf numFmtId="164" fontId="13" fillId="8" borderId="0" xfId="0" applyNumberFormat="1" applyFont="1" applyFill="1"/>
    <xf numFmtId="0" fontId="13" fillId="7" borderId="0" xfId="0" applyFont="1" applyFill="1"/>
    <xf numFmtId="166" fontId="10" fillId="3" borderId="0" xfId="0" applyNumberFormat="1" applyFont="1" applyFill="1"/>
    <xf numFmtId="165" fontId="4" fillId="0" borderId="0" xfId="0" applyNumberFormat="1" applyFont="1"/>
    <xf numFmtId="166" fontId="4" fillId="0" borderId="0" xfId="0" applyNumberFormat="1" applyFont="1"/>
    <xf numFmtId="0" fontId="5" fillId="5" borderId="0" xfId="0" applyFont="1" applyFill="1" applyAlignment="1">
      <alignment horizontal="center"/>
    </xf>
    <xf numFmtId="0" fontId="5" fillId="9" borderId="0" xfId="0" applyFont="1" applyFill="1" applyAlignment="1">
      <alignment horizontal="center"/>
    </xf>
    <xf numFmtId="165" fontId="5" fillId="0" borderId="0" xfId="0" applyNumberFormat="1" applyFont="1"/>
    <xf numFmtId="165" fontId="12" fillId="0" borderId="0" xfId="0" applyNumberFormat="1" applyFont="1"/>
    <xf numFmtId="3" fontId="5" fillId="4" borderId="0" xfId="0" applyNumberFormat="1" applyFont="1" applyFill="1"/>
    <xf numFmtId="168" fontId="5" fillId="4" borderId="0" xfId="0" applyNumberFormat="1" applyFont="1" applyFill="1"/>
    <xf numFmtId="166" fontId="5" fillId="0" borderId="0" xfId="0" applyNumberFormat="1" applyFont="1"/>
    <xf numFmtId="165" fontId="5" fillId="4" borderId="0" xfId="0" applyNumberFormat="1" applyFont="1" applyFill="1"/>
    <xf numFmtId="164" fontId="4" fillId="0" borderId="0" xfId="0" applyNumberFormat="1" applyFont="1"/>
    <xf numFmtId="0" fontId="8" fillId="6" borderId="0" xfId="0" applyFont="1" applyFill="1"/>
    <xf numFmtId="167" fontId="16" fillId="6" borderId="0" xfId="0" applyNumberFormat="1" applyFont="1" applyFill="1"/>
    <xf numFmtId="3" fontId="16" fillId="6" borderId="0" xfId="0" applyNumberFormat="1" applyFont="1" applyFill="1"/>
    <xf numFmtId="165" fontId="10" fillId="3" borderId="0" xfId="0" applyNumberFormat="1" applyFont="1" applyFill="1"/>
    <xf numFmtId="164" fontId="16" fillId="6" borderId="0" xfId="0" applyNumberFormat="1" applyFont="1" applyFill="1"/>
    <xf numFmtId="164" fontId="5" fillId="0" borderId="0" xfId="0" applyNumberFormat="1" applyFont="1"/>
    <xf numFmtId="0" fontId="4" fillId="6" borderId="0" xfId="0" applyFont="1" applyFill="1"/>
    <xf numFmtId="164" fontId="12" fillId="6" borderId="0" xfId="0" applyNumberFormat="1" applyFont="1" applyFill="1"/>
    <xf numFmtId="165" fontId="4" fillId="6" borderId="0" xfId="0" applyNumberFormat="1" applyFont="1" applyFill="1"/>
    <xf numFmtId="165" fontId="5" fillId="6" borderId="0" xfId="0" applyNumberFormat="1" applyFont="1" applyFill="1"/>
    <xf numFmtId="164" fontId="5" fillId="6" borderId="0" xfId="0" applyNumberFormat="1" applyFont="1" applyFill="1"/>
    <xf numFmtId="3" fontId="4" fillId="0" borderId="0" xfId="0" applyNumberFormat="1" applyFont="1"/>
    <xf numFmtId="165" fontId="4" fillId="4" borderId="0" xfId="0" applyNumberFormat="1" applyFont="1" applyFill="1"/>
    <xf numFmtId="0" fontId="5" fillId="0" borderId="0" xfId="0" applyFont="1" applyAlignment="1">
      <alignment vertical="top"/>
    </xf>
    <xf numFmtId="0" fontId="10" fillId="3" borderId="0" xfId="0" applyFont="1" applyFill="1" applyAlignment="1">
      <alignment vertical="top"/>
    </xf>
    <xf numFmtId="0" fontId="0" fillId="0" borderId="0" xfId="0" applyAlignment="1">
      <alignment vertical="top"/>
    </xf>
    <xf numFmtId="0" fontId="2" fillId="0" borderId="0" xfId="0" applyFont="1" applyAlignment="1">
      <alignment vertical="top"/>
    </xf>
    <xf numFmtId="0" fontId="16" fillId="7" borderId="0" xfId="0" applyFont="1" applyFill="1" applyAlignment="1">
      <alignment vertical="top"/>
    </xf>
    <xf numFmtId="0" fontId="16" fillId="7" borderId="0" xfId="0" applyFont="1" applyFill="1"/>
    <xf numFmtId="1" fontId="13" fillId="0" borderId="0" xfId="0" applyNumberFormat="1" applyFont="1"/>
    <xf numFmtId="167" fontId="16" fillId="8" borderId="0" xfId="0" applyNumberFormat="1" applyFont="1" applyFill="1"/>
    <xf numFmtId="3" fontId="10" fillId="3" borderId="0" xfId="0" applyNumberFormat="1" applyFont="1" applyFill="1"/>
    <xf numFmtId="3" fontId="10" fillId="0" borderId="0" xfId="0" applyNumberFormat="1" applyFont="1"/>
    <xf numFmtId="0" fontId="17" fillId="9" borderId="0" xfId="0" applyFont="1" applyFill="1"/>
    <xf numFmtId="0" fontId="0" fillId="9" borderId="0" xfId="0" applyFill="1"/>
    <xf numFmtId="166" fontId="12" fillId="0" borderId="0" xfId="0" applyNumberFormat="1" applyFont="1"/>
    <xf numFmtId="0" fontId="4" fillId="10" borderId="0" xfId="0" applyFont="1" applyFill="1"/>
    <xf numFmtId="164" fontId="12" fillId="10" borderId="0" xfId="0" applyNumberFormat="1" applyFont="1" applyFill="1"/>
    <xf numFmtId="164" fontId="4" fillId="10" borderId="0" xfId="0" applyNumberFormat="1" applyFont="1" applyFill="1"/>
    <xf numFmtId="165" fontId="5" fillId="10" borderId="0" xfId="0" applyNumberFormat="1" applyFont="1" applyFill="1"/>
    <xf numFmtId="165" fontId="4" fillId="10" borderId="0" xfId="0" applyNumberFormat="1" applyFont="1" applyFill="1"/>
    <xf numFmtId="0" fontId="2" fillId="10" borderId="0" xfId="0" applyFont="1" applyFill="1" applyAlignment="1">
      <alignment vertical="top" wrapText="1"/>
    </xf>
    <xf numFmtId="0" fontId="2" fillId="6" borderId="0" xfId="0" applyFont="1" applyFill="1" applyAlignment="1">
      <alignment vertical="top" wrapText="1"/>
    </xf>
    <xf numFmtId="166" fontId="12" fillId="7" borderId="0" xfId="0" applyNumberFormat="1" applyFont="1" applyFill="1"/>
    <xf numFmtId="3" fontId="5" fillId="0" borderId="0" xfId="0" applyNumberFormat="1" applyFont="1"/>
    <xf numFmtId="2" fontId="16" fillId="0" borderId="0" xfId="0" applyNumberFormat="1" applyFont="1"/>
    <xf numFmtId="169" fontId="16" fillId="0" borderId="0" xfId="0" applyNumberFormat="1" applyFont="1"/>
    <xf numFmtId="167" fontId="13" fillId="6" borderId="0" xfId="0" applyNumberFormat="1" applyFont="1" applyFill="1"/>
    <xf numFmtId="0" fontId="10" fillId="0" borderId="0" xfId="0" applyFont="1"/>
    <xf numFmtId="164" fontId="10" fillId="10" borderId="0" xfId="0" applyNumberFormat="1" applyFont="1" applyFill="1"/>
    <xf numFmtId="0" fontId="0" fillId="10" borderId="0" xfId="0" applyFill="1"/>
    <xf numFmtId="0" fontId="2" fillId="10" borderId="0" xfId="0" applyFont="1" applyFill="1"/>
    <xf numFmtId="164" fontId="10" fillId="6" borderId="0" xfId="0" applyNumberFormat="1" applyFont="1" applyFill="1"/>
    <xf numFmtId="0" fontId="0" fillId="6" borderId="0" xfId="0" applyFill="1"/>
    <xf numFmtId="0" fontId="5" fillId="10" borderId="0" xfId="0" applyFont="1" applyFill="1" applyAlignment="1">
      <alignment vertical="top"/>
    </xf>
    <xf numFmtId="0" fontId="4" fillId="10" borderId="0" xfId="0" applyFont="1" applyFill="1" applyAlignment="1">
      <alignment vertical="top" wrapText="1"/>
    </xf>
    <xf numFmtId="0" fontId="4" fillId="10" borderId="0" xfId="0" applyFont="1" applyFill="1" applyAlignment="1">
      <alignment vertical="top"/>
    </xf>
    <xf numFmtId="0" fontId="4" fillId="0" borderId="0" xfId="0" applyFont="1" applyAlignment="1">
      <alignment vertical="top"/>
    </xf>
    <xf numFmtId="0" fontId="18" fillId="0" borderId="0" xfId="0" applyFont="1"/>
    <xf numFmtId="0" fontId="7" fillId="0" borderId="0" xfId="0" applyFont="1" applyAlignment="1">
      <alignment vertical="top" wrapText="1"/>
    </xf>
    <xf numFmtId="0" fontId="0" fillId="0" borderId="0" xfId="0" applyAlignment="1">
      <alignment vertical="top" wrapText="1"/>
    </xf>
    <xf numFmtId="0" fontId="5" fillId="0" borderId="0" xfId="0" applyFont="1" applyAlignment="1">
      <alignment horizontal="center"/>
    </xf>
    <xf numFmtId="0" fontId="5" fillId="0" borderId="0" xfId="0" applyFont="1" applyAlignment="1">
      <alignment vertical="top" wrapText="1"/>
    </xf>
    <xf numFmtId="0" fontId="32" fillId="0" borderId="0" xfId="1"/>
    <xf numFmtId="0" fontId="32" fillId="0" borderId="0" xfId="1" applyAlignment="1">
      <alignment horizontal="center"/>
    </xf>
    <xf numFmtId="0" fontId="19" fillId="0" borderId="0" xfId="1" applyFont="1"/>
    <xf numFmtId="0" fontId="20" fillId="0" borderId="0" xfId="1" applyFont="1" applyAlignment="1">
      <alignment horizontal="right" vertical="center"/>
    </xf>
    <xf numFmtId="0" fontId="21" fillId="0" borderId="0" xfId="1" applyFont="1" applyAlignment="1">
      <alignment horizontal="left" vertical="center"/>
    </xf>
    <xf numFmtId="0" fontId="22" fillId="11" borderId="0" xfId="1" applyFont="1" applyFill="1" applyAlignment="1">
      <alignment horizontal="right" vertical="center"/>
    </xf>
    <xf numFmtId="0" fontId="22" fillId="0" borderId="0" xfId="1" applyFont="1" applyAlignment="1">
      <alignment horizontal="left" vertical="center"/>
    </xf>
    <xf numFmtId="0" fontId="23" fillId="12" borderId="0" xfId="1" applyFont="1" applyFill="1" applyAlignment="1">
      <alignment horizontal="right" vertical="center"/>
    </xf>
    <xf numFmtId="0" fontId="23" fillId="0" borderId="0" xfId="1" applyFont="1" applyAlignment="1">
      <alignment horizontal="left" vertical="center"/>
    </xf>
    <xf numFmtId="0" fontId="24" fillId="13" borderId="0" xfId="1" applyFont="1" applyFill="1" applyAlignment="1">
      <alignment horizontal="right" vertical="center"/>
    </xf>
    <xf numFmtId="0" fontId="24" fillId="0" borderId="0" xfId="1" applyFont="1" applyAlignment="1">
      <alignment horizontal="left" vertical="center"/>
    </xf>
    <xf numFmtId="0" fontId="22" fillId="14" borderId="0" xfId="1" applyFont="1" applyFill="1" applyAlignment="1">
      <alignment horizontal="right" vertical="center"/>
    </xf>
    <xf numFmtId="0" fontId="25" fillId="0" borderId="0" xfId="1" applyFont="1" applyAlignment="1">
      <alignment horizontal="left" vertical="center"/>
    </xf>
    <xf numFmtId="0" fontId="26" fillId="15" borderId="3" xfId="1" applyFont="1" applyFill="1" applyBorder="1"/>
    <xf numFmtId="0" fontId="26" fillId="15" borderId="3" xfId="1" applyFont="1" applyFill="1" applyBorder="1" applyAlignment="1">
      <alignment wrapText="1"/>
    </xf>
    <xf numFmtId="14" fontId="27" fillId="0" borderId="3" xfId="1" applyNumberFormat="1" applyFont="1" applyBorder="1" applyAlignment="1">
      <alignment vertical="top"/>
    </xf>
    <xf numFmtId="14" fontId="27" fillId="0" borderId="3" xfId="1" applyNumberFormat="1" applyFont="1" applyBorder="1" applyAlignment="1">
      <alignment vertical="top" wrapText="1"/>
    </xf>
    <xf numFmtId="14" fontId="27" fillId="0" borderId="3" xfId="1" applyNumberFormat="1" applyFont="1" applyBorder="1" applyAlignment="1">
      <alignment horizontal="right" vertical="top" wrapText="1"/>
    </xf>
    <xf numFmtId="0" fontId="27" fillId="0" borderId="3" xfId="1" applyFont="1" applyBorder="1" applyAlignment="1">
      <alignment vertical="top"/>
    </xf>
    <xf numFmtId="0" fontId="28" fillId="0" borderId="3" xfId="1" applyFont="1" applyBorder="1" applyAlignment="1">
      <alignment horizontal="center" vertical="top" wrapText="1"/>
    </xf>
    <xf numFmtId="0" fontId="28" fillId="0" borderId="3" xfId="1" applyFont="1" applyBorder="1" applyAlignment="1">
      <alignment vertical="top" wrapText="1"/>
    </xf>
    <xf numFmtId="0" fontId="29" fillId="0" borderId="3" xfId="1" applyFont="1" applyBorder="1" applyAlignment="1">
      <alignment horizontal="left" vertical="top" wrapText="1"/>
    </xf>
    <xf numFmtId="14" fontId="30" fillId="0" borderId="3" xfId="1" applyNumberFormat="1" applyFont="1" applyBorder="1" applyAlignment="1">
      <alignment horizontal="right" vertical="top" wrapText="1"/>
    </xf>
    <xf numFmtId="0" fontId="27" fillId="0" borderId="3" xfId="1" applyFont="1" applyBorder="1" applyAlignment="1">
      <alignment vertical="top" wrapText="1"/>
    </xf>
    <xf numFmtId="0" fontId="2" fillId="0" borderId="0" xfId="0" applyFont="1"/>
    <xf numFmtId="0" fontId="4"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xf>
    <xf numFmtId="0" fontId="8" fillId="0" borderId="0" xfId="0" applyFont="1" applyAlignment="1">
      <alignment vertical="top"/>
    </xf>
    <xf numFmtId="0" fontId="6" fillId="0" borderId="0" xfId="0" applyFont="1" applyAlignment="1">
      <alignment vertical="top"/>
    </xf>
  </cellXfs>
  <cellStyles count="2">
    <cellStyle name="Normal" xfId="0" builtinId="0"/>
    <cellStyle name="Normal 2" xfId="1" xr:uid="{00000000-0005-0000-0000-000006000000}"/>
  </cellStyles>
  <dxfs count="12">
    <dxf>
      <fill>
        <patternFill>
          <bgColor theme="5" tint="0.79979857783745845"/>
        </patternFill>
      </fill>
    </dxf>
    <dxf>
      <fill>
        <patternFill>
          <bgColor theme="5" tint="0.59978026673177287"/>
        </patternFill>
      </fill>
    </dxf>
    <dxf>
      <font>
        <b/>
        <color rgb="FFFFFFFF"/>
      </font>
      <fill>
        <patternFill>
          <bgColor theme="5" tint="-0.249977111117893"/>
        </patternFill>
      </fill>
    </dxf>
    <dxf>
      <font>
        <b/>
        <color rgb="FFFFFFFF"/>
      </font>
      <fill>
        <patternFill>
          <bgColor rgb="FFFF0000"/>
        </patternFill>
      </fill>
    </dxf>
    <dxf>
      <font>
        <i/>
        <color rgb="FF7F7F7F"/>
      </font>
    </dxf>
    <dxf>
      <font>
        <b/>
        <color rgb="FFFFFFFF"/>
      </font>
      <fill>
        <patternFill>
          <bgColor rgb="FFFF0000"/>
        </patternFill>
      </fill>
    </dxf>
    <dxf>
      <font>
        <b/>
      </font>
      <fill>
        <patternFill>
          <bgColor rgb="FFFFC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theme="9" tint="0.3997924741355632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C1528"/>
      <rgbColor rgb="FF008000"/>
      <rgbColor rgb="FF000080"/>
      <rgbColor rgb="FF808000"/>
      <rgbColor rgb="FF800080"/>
      <rgbColor rgb="FF008080"/>
      <rgbColor rgb="FFBFBFBF"/>
      <rgbColor rgb="FF7F7F7F"/>
      <rgbColor rgb="FF9999FF"/>
      <rgbColor rgb="FF953735"/>
      <rgbColor rgb="FFFFF2CC"/>
      <rgbColor rgb="FFDCE6F1"/>
      <rgbColor rgb="FF660066"/>
      <rgbColor rgb="FFFCD5B5"/>
      <rgbColor rgb="FF0070C0"/>
      <rgbColor rgb="FFD9D2C8"/>
      <rgbColor rgb="FF000080"/>
      <rgbColor rgb="FFFF00FF"/>
      <rgbColor rgb="FFFDEADA"/>
      <rgbColor rgb="FF00FFFF"/>
      <rgbColor rgb="FF800080"/>
      <rgbColor rgb="FFC00000"/>
      <rgbColor rgb="FF008080"/>
      <rgbColor rgb="FF0000FF"/>
      <rgbColor rgb="FF00CCFF"/>
      <rgbColor rgb="FFFBF3EA"/>
      <rgbColor rgb="FFDCEBE2"/>
      <rgbColor rgb="FFF2E3B8"/>
      <rgbColor rgb="FFF2DCDB"/>
      <rgbColor rgb="FFE6B9B8"/>
      <rgbColor rgb="FFF7D9D2"/>
      <rgbColor rgb="FFFAC090"/>
      <rgbColor rgb="FF3366FF"/>
      <rgbColor rgb="FF33CCCC"/>
      <rgbColor rgb="FF92D050"/>
      <rgbColor rgb="FFFFC000"/>
      <rgbColor rgb="FFFF9900"/>
      <rgbColor rgb="FFFF6600"/>
      <rgbColor rgb="FF555555"/>
      <rgbColor rgb="FF999999"/>
      <rgbColor rgb="FF215968"/>
      <rgbColor rgb="FF00B050"/>
      <rgbColor rgb="FF003300"/>
      <rgbColor rgb="FF333300"/>
      <rgbColor rgb="FFB23A2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9"/>
  <sheetViews>
    <sheetView showGridLines="0" zoomScaleNormal="100" workbookViewId="0">
      <pane ySplit="3" topLeftCell="A4" activePane="bottomLeft" state="frozen"/>
      <selection pane="bottomLeft" activeCell="B6" sqref="B6"/>
    </sheetView>
  </sheetViews>
  <sheetFormatPr defaultColWidth="8.6328125" defaultRowHeight="14.5" x14ac:dyDescent="0.35"/>
  <cols>
    <col min="1" max="1" width="30" customWidth="1"/>
    <col min="2" max="2" width="96" customWidth="1"/>
  </cols>
  <sheetData>
    <row r="1" spans="1:2" ht="18" customHeight="1" x14ac:dyDescent="0.4">
      <c r="A1" s="4" t="s">
        <v>0</v>
      </c>
    </row>
    <row r="2" spans="1:2" x14ac:dyDescent="0.35">
      <c r="A2" s="3" t="s">
        <v>1</v>
      </c>
    </row>
    <row r="4" spans="1:2" x14ac:dyDescent="0.35">
      <c r="A4" s="5" t="s">
        <v>2</v>
      </c>
      <c r="B4" s="6"/>
    </row>
    <row r="5" spans="1:2" x14ac:dyDescent="0.35">
      <c r="A5" s="7" t="s">
        <v>3</v>
      </c>
      <c r="B5" s="6" t="s">
        <v>4</v>
      </c>
    </row>
    <row r="6" spans="1:2" x14ac:dyDescent="0.35">
      <c r="A6" s="7"/>
      <c r="B6" s="6" t="s">
        <v>5</v>
      </c>
    </row>
    <row r="7" spans="1:2" x14ac:dyDescent="0.35">
      <c r="A7" s="7"/>
      <c r="B7" s="6" t="s">
        <v>6</v>
      </c>
    </row>
    <row r="8" spans="1:2" x14ac:dyDescent="0.35">
      <c r="A8" s="7" t="s">
        <v>7</v>
      </c>
      <c r="B8" s="6" t="s">
        <v>8</v>
      </c>
    </row>
    <row r="9" spans="1:2" x14ac:dyDescent="0.35">
      <c r="A9" s="7" t="s">
        <v>9</v>
      </c>
      <c r="B9" s="6" t="s">
        <v>10</v>
      </c>
    </row>
    <row r="10" spans="1:2" x14ac:dyDescent="0.35">
      <c r="A10" s="7" t="s">
        <v>11</v>
      </c>
      <c r="B10" s="6" t="s">
        <v>12</v>
      </c>
    </row>
    <row r="11" spans="1:2" x14ac:dyDescent="0.35">
      <c r="A11" s="7"/>
      <c r="B11" s="6" t="s">
        <v>13</v>
      </c>
    </row>
    <row r="12" spans="1:2" x14ac:dyDescent="0.35">
      <c r="A12" s="7" t="s">
        <v>14</v>
      </c>
      <c r="B12" s="6" t="s">
        <v>15</v>
      </c>
    </row>
    <row r="13" spans="1:2" x14ac:dyDescent="0.35">
      <c r="A13" s="7"/>
      <c r="B13" s="6" t="s">
        <v>16</v>
      </c>
    </row>
    <row r="14" spans="1:2" x14ac:dyDescent="0.35">
      <c r="A14" s="7" t="s">
        <v>17</v>
      </c>
      <c r="B14" s="6" t="s">
        <v>18</v>
      </c>
    </row>
    <row r="15" spans="1:2" x14ac:dyDescent="0.35">
      <c r="A15" s="7"/>
      <c r="B15" s="6" t="s">
        <v>19</v>
      </c>
    </row>
    <row r="16" spans="1:2" x14ac:dyDescent="0.35">
      <c r="A16" s="7" t="s">
        <v>20</v>
      </c>
      <c r="B16" s="6" t="s">
        <v>21</v>
      </c>
    </row>
    <row r="17" spans="1:2" x14ac:dyDescent="0.35">
      <c r="A17" s="7"/>
      <c r="B17" s="6"/>
    </row>
    <row r="18" spans="1:2" x14ac:dyDescent="0.35">
      <c r="A18" s="5" t="s">
        <v>22</v>
      </c>
      <c r="B18" s="6"/>
    </row>
    <row r="19" spans="1:2" x14ac:dyDescent="0.35">
      <c r="A19" s="7"/>
      <c r="B19" s="6" t="s">
        <v>23</v>
      </c>
    </row>
    <row r="20" spans="1:2" x14ac:dyDescent="0.35">
      <c r="A20" s="7"/>
      <c r="B20" s="6" t="s">
        <v>24</v>
      </c>
    </row>
    <row r="21" spans="1:2" x14ac:dyDescent="0.35">
      <c r="A21" s="7"/>
      <c r="B21" s="6"/>
    </row>
    <row r="22" spans="1:2" x14ac:dyDescent="0.35">
      <c r="A22" s="7"/>
      <c r="B22" s="6" t="s">
        <v>25</v>
      </c>
    </row>
    <row r="23" spans="1:2" x14ac:dyDescent="0.35">
      <c r="A23" s="7"/>
      <c r="B23" s="6" t="s">
        <v>26</v>
      </c>
    </row>
    <row r="24" spans="1:2" x14ac:dyDescent="0.35">
      <c r="A24" s="7"/>
      <c r="B24" s="6" t="s">
        <v>27</v>
      </c>
    </row>
    <row r="25" spans="1:2" x14ac:dyDescent="0.35">
      <c r="A25" s="7"/>
      <c r="B25" s="6"/>
    </row>
    <row r="26" spans="1:2" x14ac:dyDescent="0.35">
      <c r="A26" s="7"/>
      <c r="B26" s="6" t="s">
        <v>28</v>
      </c>
    </row>
    <row r="27" spans="1:2" x14ac:dyDescent="0.35">
      <c r="A27" s="7"/>
      <c r="B27" s="6" t="s">
        <v>29</v>
      </c>
    </row>
    <row r="28" spans="1:2" x14ac:dyDescent="0.35">
      <c r="A28" s="7"/>
      <c r="B28" s="6" t="s">
        <v>30</v>
      </c>
    </row>
    <row r="29" spans="1:2" x14ac:dyDescent="0.35">
      <c r="A29" s="7"/>
      <c r="B29" s="6"/>
    </row>
    <row r="30" spans="1:2" x14ac:dyDescent="0.35">
      <c r="A30" s="5" t="s">
        <v>31</v>
      </c>
      <c r="B30" s="6"/>
    </row>
    <row r="31" spans="1:2" x14ac:dyDescent="0.35">
      <c r="A31" s="7" t="s">
        <v>32</v>
      </c>
      <c r="B31" s="6" t="s">
        <v>33</v>
      </c>
    </row>
    <row r="32" spans="1:2" x14ac:dyDescent="0.35">
      <c r="A32" s="7" t="s">
        <v>34</v>
      </c>
      <c r="B32" s="6" t="s">
        <v>35</v>
      </c>
    </row>
    <row r="33" spans="1:2" x14ac:dyDescent="0.35">
      <c r="A33" s="7" t="s">
        <v>36</v>
      </c>
      <c r="B33" s="6" t="s">
        <v>37</v>
      </c>
    </row>
    <row r="34" spans="1:2" x14ac:dyDescent="0.35">
      <c r="A34" s="7" t="s">
        <v>38</v>
      </c>
      <c r="B34" s="6" t="s">
        <v>39</v>
      </c>
    </row>
    <row r="35" spans="1:2" x14ac:dyDescent="0.35">
      <c r="A35" s="7" t="s">
        <v>40</v>
      </c>
      <c r="B35" s="6" t="s">
        <v>41</v>
      </c>
    </row>
    <row r="36" spans="1:2" x14ac:dyDescent="0.35">
      <c r="A36" s="7" t="s">
        <v>42</v>
      </c>
      <c r="B36" s="6" t="s">
        <v>43</v>
      </c>
    </row>
    <row r="37" spans="1:2" x14ac:dyDescent="0.35">
      <c r="A37" s="7" t="s">
        <v>44</v>
      </c>
      <c r="B37" s="6" t="s">
        <v>45</v>
      </c>
    </row>
    <row r="38" spans="1:2" x14ac:dyDescent="0.35">
      <c r="A38" s="7" t="s">
        <v>46</v>
      </c>
      <c r="B38" s="6" t="s">
        <v>47</v>
      </c>
    </row>
    <row r="39" spans="1:2" x14ac:dyDescent="0.35">
      <c r="A39" s="7" t="s">
        <v>48</v>
      </c>
      <c r="B39" s="6" t="s">
        <v>49</v>
      </c>
    </row>
    <row r="40" spans="1:2" x14ac:dyDescent="0.35">
      <c r="A40" s="7" t="s">
        <v>50</v>
      </c>
      <c r="B40" s="6" t="s">
        <v>51</v>
      </c>
    </row>
    <row r="41" spans="1:2" x14ac:dyDescent="0.35">
      <c r="A41" s="7" t="s">
        <v>52</v>
      </c>
      <c r="B41" s="6" t="s">
        <v>53</v>
      </c>
    </row>
    <row r="42" spans="1:2" x14ac:dyDescent="0.35">
      <c r="A42" s="7" t="s">
        <v>54</v>
      </c>
      <c r="B42" s="6" t="s">
        <v>55</v>
      </c>
    </row>
    <row r="43" spans="1:2" x14ac:dyDescent="0.35">
      <c r="A43" s="7" t="s">
        <v>56</v>
      </c>
      <c r="B43" s="6" t="s">
        <v>57</v>
      </c>
    </row>
    <row r="45" spans="1:2" x14ac:dyDescent="0.35">
      <c r="A45" s="8" t="s">
        <v>58</v>
      </c>
    </row>
    <row r="46" spans="1:2" s="64" customFormat="1" ht="42" customHeight="1" x14ac:dyDescent="0.35">
      <c r="A46" s="129" t="s">
        <v>59</v>
      </c>
      <c r="B46" s="10" t="s">
        <v>60</v>
      </c>
    </row>
    <row r="47" spans="1:2" s="64" customFormat="1" ht="42" customHeight="1" x14ac:dyDescent="0.35">
      <c r="A47" s="129" t="s">
        <v>61</v>
      </c>
      <c r="B47" s="10" t="s">
        <v>62</v>
      </c>
    </row>
    <row r="48" spans="1:2" s="64" customFormat="1" ht="42" customHeight="1" x14ac:dyDescent="0.35">
      <c r="A48" s="129" t="s">
        <v>63</v>
      </c>
      <c r="B48" s="10" t="s">
        <v>64</v>
      </c>
    </row>
    <row r="49" spans="1:2" s="64" customFormat="1" ht="42" customHeight="1" x14ac:dyDescent="0.35">
      <c r="A49" s="129" t="s">
        <v>65</v>
      </c>
      <c r="B49" s="10" t="s">
        <v>66</v>
      </c>
    </row>
    <row r="50" spans="1:2" s="64" customFormat="1" ht="42" customHeight="1" x14ac:dyDescent="0.35">
      <c r="A50" s="129" t="s">
        <v>67</v>
      </c>
      <c r="B50" s="10" t="s">
        <v>68</v>
      </c>
    </row>
    <row r="51" spans="1:2" s="64" customFormat="1" x14ac:dyDescent="0.35"/>
    <row r="52" spans="1:2" s="64" customFormat="1" x14ac:dyDescent="0.35">
      <c r="A52" s="129" t="s">
        <v>69</v>
      </c>
      <c r="B52" s="130" t="s">
        <v>70</v>
      </c>
    </row>
    <row r="53" spans="1:2" s="64" customFormat="1" x14ac:dyDescent="0.35">
      <c r="A53" s="129"/>
      <c r="B53" s="130"/>
    </row>
    <row r="54" spans="1:2" s="64" customFormat="1" x14ac:dyDescent="0.35"/>
    <row r="55" spans="1:2" s="64" customFormat="1" x14ac:dyDescent="0.35">
      <c r="A55" s="131" t="s">
        <v>71</v>
      </c>
    </row>
    <row r="56" spans="1:2" s="64" customFormat="1" ht="42" customHeight="1" x14ac:dyDescent="0.35">
      <c r="A56" s="129" t="s">
        <v>72</v>
      </c>
      <c r="B56" s="10" t="s">
        <v>73</v>
      </c>
    </row>
    <row r="57" spans="1:2" s="64" customFormat="1" ht="42" customHeight="1" x14ac:dyDescent="0.35">
      <c r="A57" s="129" t="s">
        <v>74</v>
      </c>
      <c r="B57" s="10" t="s">
        <v>75</v>
      </c>
    </row>
    <row r="58" spans="1:2" s="64" customFormat="1" ht="42" customHeight="1" x14ac:dyDescent="0.35">
      <c r="A58" s="129" t="s">
        <v>76</v>
      </c>
      <c r="B58" s="10" t="s">
        <v>77</v>
      </c>
    </row>
    <row r="59" spans="1:2" s="64" customFormat="1" ht="42" customHeight="1" x14ac:dyDescent="0.35">
      <c r="A59" s="129" t="s">
        <v>78</v>
      </c>
      <c r="B59" s="10" t="s">
        <v>79</v>
      </c>
    </row>
    <row r="60" spans="1:2" s="64" customFormat="1" ht="42" customHeight="1" x14ac:dyDescent="0.35">
      <c r="A60" s="129" t="s">
        <v>67</v>
      </c>
      <c r="B60" s="10" t="s">
        <v>80</v>
      </c>
    </row>
    <row r="61" spans="1:2" s="64" customFormat="1" x14ac:dyDescent="0.35"/>
    <row r="62" spans="1:2" s="64" customFormat="1" x14ac:dyDescent="0.35"/>
    <row r="63" spans="1:2" s="64" customFormat="1" x14ac:dyDescent="0.35"/>
    <row r="64" spans="1:2" s="64" customFormat="1" x14ac:dyDescent="0.35"/>
    <row r="65" s="64" customFormat="1" x14ac:dyDescent="0.35"/>
    <row r="66" s="64" customFormat="1" x14ac:dyDescent="0.35"/>
    <row r="67" s="64" customFormat="1" x14ac:dyDescent="0.35"/>
    <row r="68" s="64" customFormat="1" x14ac:dyDescent="0.35"/>
    <row r="69" s="64" customFormat="1" x14ac:dyDescent="0.35"/>
    <row r="70" s="64" customFormat="1" x14ac:dyDescent="0.35"/>
    <row r="71" s="64" customFormat="1" x14ac:dyDescent="0.35"/>
    <row r="72" s="64" customFormat="1" x14ac:dyDescent="0.35"/>
    <row r="73" s="64" customFormat="1" x14ac:dyDescent="0.35"/>
    <row r="74" s="64" customFormat="1" x14ac:dyDescent="0.35"/>
    <row r="75" s="64" customFormat="1" x14ac:dyDescent="0.35"/>
    <row r="76" s="64" customFormat="1" x14ac:dyDescent="0.35"/>
    <row r="77" s="64" customFormat="1" x14ac:dyDescent="0.35"/>
    <row r="78" s="64" customFormat="1" x14ac:dyDescent="0.35"/>
    <row r="79" s="64" customFormat="1" x14ac:dyDescent="0.35"/>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3"/>
  <sheetViews>
    <sheetView showGridLines="0" tabSelected="1" zoomScale="140" zoomScaleNormal="140" workbookViewId="0">
      <pane ySplit="3" topLeftCell="A5" activePane="bottomLeft" state="frozen"/>
      <selection pane="bottomLeft" activeCell="D17" sqref="D17"/>
    </sheetView>
  </sheetViews>
  <sheetFormatPr defaultColWidth="8.6328125" defaultRowHeight="14.5" x14ac:dyDescent="0.35"/>
  <cols>
    <col min="1" max="1" width="44" customWidth="1"/>
    <col min="2" max="2" width="14" customWidth="1"/>
    <col min="3" max="3" width="17.453125" customWidth="1"/>
    <col min="4" max="4" width="68" customWidth="1"/>
  </cols>
  <sheetData>
    <row r="1" spans="1:4" ht="18" customHeight="1" x14ac:dyDescent="0.4">
      <c r="A1" s="4" t="s">
        <v>32</v>
      </c>
    </row>
    <row r="2" spans="1:4" x14ac:dyDescent="0.35">
      <c r="A2" s="3" t="s">
        <v>81</v>
      </c>
    </row>
    <row r="4" spans="1:4" x14ac:dyDescent="0.35">
      <c r="A4" s="5" t="s">
        <v>82</v>
      </c>
    </row>
    <row r="5" spans="1:4" ht="30" customHeight="1" x14ac:dyDescent="0.35">
      <c r="A5" s="12" t="s">
        <v>83</v>
      </c>
      <c r="B5" s="12" t="s">
        <v>858</v>
      </c>
      <c r="C5" s="12" t="s">
        <v>859</v>
      </c>
      <c r="D5" s="12" t="s">
        <v>84</v>
      </c>
    </row>
    <row r="6" spans="1:4" x14ac:dyDescent="0.35">
      <c r="A6" s="6" t="s">
        <v>85</v>
      </c>
      <c r="B6" s="13">
        <v>2.9000000000000001E-2</v>
      </c>
      <c r="C6" s="13">
        <v>2.9000000000000001E-2</v>
      </c>
      <c r="D6" s="3" t="s">
        <v>86</v>
      </c>
    </row>
    <row r="7" spans="1:4" x14ac:dyDescent="0.35">
      <c r="A7" s="6" t="s">
        <v>87</v>
      </c>
      <c r="B7" s="13">
        <v>0.01</v>
      </c>
      <c r="C7" s="13">
        <v>1.4999999999999999E-2</v>
      </c>
      <c r="D7" s="3" t="s">
        <v>88</v>
      </c>
    </row>
    <row r="8" spans="1:4" x14ac:dyDescent="0.35">
      <c r="A8" s="6" t="s">
        <v>89</v>
      </c>
      <c r="B8" s="13">
        <v>0.02</v>
      </c>
      <c r="C8" s="13">
        <v>0.01</v>
      </c>
      <c r="D8" s="3" t="s">
        <v>90</v>
      </c>
    </row>
    <row r="9" spans="1:4" x14ac:dyDescent="0.35">
      <c r="A9" s="6" t="s">
        <v>91</v>
      </c>
      <c r="B9" s="14">
        <v>0.3</v>
      </c>
      <c r="C9" s="14">
        <v>0.3</v>
      </c>
      <c r="D9" s="3" t="s">
        <v>92</v>
      </c>
    </row>
    <row r="10" spans="1:4" x14ac:dyDescent="0.35">
      <c r="A10" s="6" t="s">
        <v>93</v>
      </c>
      <c r="B10" s="14">
        <v>15</v>
      </c>
      <c r="C10" s="14">
        <v>15</v>
      </c>
      <c r="D10" s="3" t="s">
        <v>94</v>
      </c>
    </row>
    <row r="12" spans="1:4" x14ac:dyDescent="0.35">
      <c r="A12" s="7" t="s">
        <v>95</v>
      </c>
      <c r="B12" s="15">
        <v>0.6</v>
      </c>
    </row>
    <row r="13" spans="1:4" x14ac:dyDescent="0.35">
      <c r="A13" s="7" t="s">
        <v>96</v>
      </c>
      <c r="B13" s="16">
        <f>B6*(1-B12)+(B6+B7+B8)*B12</f>
        <v>4.6999999999999993E-2</v>
      </c>
    </row>
    <row r="15" spans="1:4" x14ac:dyDescent="0.35">
      <c r="A15" s="5" t="s">
        <v>97</v>
      </c>
    </row>
    <row r="16" spans="1:4" x14ac:dyDescent="0.35">
      <c r="A16" s="7" t="s">
        <v>98</v>
      </c>
      <c r="B16" s="17" t="s">
        <v>99</v>
      </c>
      <c r="D16" s="3" t="s">
        <v>100</v>
      </c>
    </row>
    <row r="17" spans="1:4" ht="25.5" customHeight="1" x14ac:dyDescent="0.35">
      <c r="A17" s="7" t="s">
        <v>101</v>
      </c>
      <c r="B17" s="15">
        <v>0.08</v>
      </c>
      <c r="D17" s="1" t="s">
        <v>102</v>
      </c>
    </row>
    <row r="18" spans="1:4" ht="25.5" customHeight="1" x14ac:dyDescent="0.35">
      <c r="A18" s="7" t="s">
        <v>103</v>
      </c>
      <c r="B18" s="17" t="s">
        <v>104</v>
      </c>
      <c r="D18" s="1" t="s">
        <v>105</v>
      </c>
    </row>
    <row r="19" spans="1:4" ht="25.5" customHeight="1" x14ac:dyDescent="0.35">
      <c r="A19" s="7" t="s">
        <v>106</v>
      </c>
      <c r="B19" s="3" t="s">
        <v>107</v>
      </c>
      <c r="D19" s="1" t="s">
        <v>108</v>
      </c>
    </row>
    <row r="21" spans="1:4" x14ac:dyDescent="0.35">
      <c r="A21" s="5" t="s">
        <v>109</v>
      </c>
    </row>
    <row r="22" spans="1:4" x14ac:dyDescent="0.35">
      <c r="A22" s="7" t="s">
        <v>110</v>
      </c>
    </row>
    <row r="23" spans="1:4" ht="30" customHeight="1" x14ac:dyDescent="0.35">
      <c r="A23" s="12" t="s">
        <v>111</v>
      </c>
      <c r="B23" s="12" t="s">
        <v>46</v>
      </c>
      <c r="C23" s="12" t="s">
        <v>112</v>
      </c>
      <c r="D23" s="12" t="s">
        <v>84</v>
      </c>
    </row>
    <row r="24" spans="1:4" x14ac:dyDescent="0.35">
      <c r="A24" s="6" t="s">
        <v>113</v>
      </c>
      <c r="B24" s="18">
        <f>$B$17</f>
        <v>0.08</v>
      </c>
      <c r="C24" s="18">
        <f>$B$17</f>
        <v>0.08</v>
      </c>
      <c r="D24" s="3" t="s">
        <v>114</v>
      </c>
    </row>
    <row r="25" spans="1:4" x14ac:dyDescent="0.35">
      <c r="A25" s="6" t="s">
        <v>115</v>
      </c>
      <c r="B25" s="18">
        <f>$B$13</f>
        <v>4.6999999999999993E-2</v>
      </c>
      <c r="C25" s="18">
        <f>$B$13-0.004</f>
        <v>4.2999999999999997E-2</v>
      </c>
      <c r="D25" s="3" t="s">
        <v>116</v>
      </c>
    </row>
    <row r="26" spans="1:4" x14ac:dyDescent="0.35">
      <c r="A26" s="7" t="s">
        <v>117</v>
      </c>
      <c r="B26" s="19">
        <f>SUM(B24:B25)</f>
        <v>0.127</v>
      </c>
      <c r="C26" s="19">
        <f>SUM(C24:C25)</f>
        <v>0.123</v>
      </c>
    </row>
    <row r="28" spans="1:4" x14ac:dyDescent="0.35">
      <c r="A28" s="7" t="s">
        <v>118</v>
      </c>
    </row>
    <row r="29" spans="1:4" ht="30" customHeight="1" x14ac:dyDescent="0.35">
      <c r="A29" s="12" t="s">
        <v>111</v>
      </c>
      <c r="B29" s="12" t="s">
        <v>46</v>
      </c>
      <c r="C29" s="12" t="s">
        <v>112</v>
      </c>
      <c r="D29" s="12" t="s">
        <v>84</v>
      </c>
    </row>
    <row r="30" spans="1:4" x14ac:dyDescent="0.35">
      <c r="A30" s="6" t="s">
        <v>119</v>
      </c>
      <c r="B30" s="13">
        <v>1.4999999999999999E-2</v>
      </c>
      <c r="C30" s="13">
        <v>1.4999999999999999E-2</v>
      </c>
      <c r="D30" s="3" t="s">
        <v>120</v>
      </c>
    </row>
    <row r="31" spans="1:4" x14ac:dyDescent="0.35">
      <c r="A31" s="6" t="s">
        <v>121</v>
      </c>
      <c r="B31" s="13">
        <v>0.04</v>
      </c>
      <c r="C31" s="13">
        <v>0.02</v>
      </c>
      <c r="D31" s="3" t="s">
        <v>122</v>
      </c>
    </row>
    <row r="32" spans="1:4" x14ac:dyDescent="0.35">
      <c r="A32" s="6" t="s">
        <v>123</v>
      </c>
      <c r="B32" s="13">
        <v>0.02</v>
      </c>
      <c r="C32" s="13">
        <v>0.03</v>
      </c>
      <c r="D32" s="3" t="s">
        <v>124</v>
      </c>
    </row>
    <row r="33" spans="1:4" x14ac:dyDescent="0.35">
      <c r="A33" s="6" t="s">
        <v>125</v>
      </c>
      <c r="B33" s="13">
        <v>0.03</v>
      </c>
      <c r="C33" s="13">
        <v>2.5000000000000001E-2</v>
      </c>
      <c r="D33" s="3" t="s">
        <v>126</v>
      </c>
    </row>
    <row r="34" spans="1:4" x14ac:dyDescent="0.35">
      <c r="A34" s="7" t="s">
        <v>127</v>
      </c>
      <c r="B34" s="19">
        <f>SUM(B30:B33)</f>
        <v>0.105</v>
      </c>
      <c r="C34" s="19">
        <f>SUM(C30:C33)</f>
        <v>0.09</v>
      </c>
      <c r="D34" s="3" t="s">
        <v>128</v>
      </c>
    </row>
    <row r="36" spans="1:4" x14ac:dyDescent="0.35">
      <c r="A36" s="5" t="s">
        <v>129</v>
      </c>
    </row>
    <row r="37" spans="1:4" ht="30" customHeight="1" x14ac:dyDescent="0.35">
      <c r="A37" s="12" t="s">
        <v>111</v>
      </c>
      <c r="B37" s="12" t="s">
        <v>130</v>
      </c>
      <c r="C37" s="12"/>
      <c r="D37" s="12" t="s">
        <v>84</v>
      </c>
    </row>
    <row r="38" spans="1:4" x14ac:dyDescent="0.35">
      <c r="A38" s="6" t="s">
        <v>131</v>
      </c>
      <c r="B38" s="20">
        <v>180</v>
      </c>
      <c r="D38" s="3" t="s">
        <v>132</v>
      </c>
    </row>
    <row r="39" spans="1:4" x14ac:dyDescent="0.35">
      <c r="A39" s="6" t="s">
        <v>133</v>
      </c>
      <c r="B39" s="20">
        <v>33.25</v>
      </c>
      <c r="D39" s="3" t="s">
        <v>134</v>
      </c>
    </row>
    <row r="40" spans="1:4" x14ac:dyDescent="0.35">
      <c r="A40" s="6" t="s">
        <v>135</v>
      </c>
      <c r="B40" s="20">
        <v>23.25</v>
      </c>
      <c r="D40" s="3" t="s">
        <v>136</v>
      </c>
    </row>
    <row r="41" spans="1:4" x14ac:dyDescent="0.35">
      <c r="A41" s="6" t="s">
        <v>137</v>
      </c>
      <c r="B41" s="20">
        <v>20.75</v>
      </c>
      <c r="D41" s="3" t="s">
        <v>138</v>
      </c>
    </row>
    <row r="42" spans="1:4" x14ac:dyDescent="0.35">
      <c r="A42" s="6" t="s">
        <v>139</v>
      </c>
      <c r="B42" s="20">
        <v>3.25</v>
      </c>
      <c r="D42" s="3" t="s">
        <v>140</v>
      </c>
    </row>
    <row r="43" spans="1:4" x14ac:dyDescent="0.35">
      <c r="A43" s="6" t="s">
        <v>141</v>
      </c>
      <c r="B43" s="20">
        <v>49</v>
      </c>
      <c r="D43" s="3" t="s">
        <v>142</v>
      </c>
    </row>
    <row r="44" spans="1:4" x14ac:dyDescent="0.35">
      <c r="A44" s="6" t="s">
        <v>143</v>
      </c>
      <c r="B44" s="20">
        <v>15</v>
      </c>
      <c r="D44" s="3" t="s">
        <v>144</v>
      </c>
    </row>
    <row r="45" spans="1:4" x14ac:dyDescent="0.35">
      <c r="A45" s="6" t="s">
        <v>145</v>
      </c>
      <c r="B45" s="20">
        <v>150</v>
      </c>
      <c r="D45" s="3" t="s">
        <v>146</v>
      </c>
    </row>
    <row r="46" spans="1:4" x14ac:dyDescent="0.35">
      <c r="A46" s="6" t="s">
        <v>147</v>
      </c>
      <c r="B46" s="20">
        <v>200</v>
      </c>
      <c r="D46" s="3" t="s">
        <v>148</v>
      </c>
    </row>
    <row r="47" spans="1:4" x14ac:dyDescent="0.35">
      <c r="A47" s="6" t="s">
        <v>149</v>
      </c>
      <c r="B47" s="20">
        <v>1500</v>
      </c>
      <c r="D47" s="3" t="s">
        <v>150</v>
      </c>
    </row>
    <row r="48" spans="1:4" x14ac:dyDescent="0.35">
      <c r="A48" s="6" t="s">
        <v>151</v>
      </c>
      <c r="B48" s="20">
        <v>1200</v>
      </c>
      <c r="D48" s="3" t="s">
        <v>152</v>
      </c>
    </row>
    <row r="49" spans="1:4" x14ac:dyDescent="0.35">
      <c r="A49" s="7" t="s">
        <v>153</v>
      </c>
      <c r="B49" s="21">
        <f>SUM(B38:B48)</f>
        <v>3374.5</v>
      </c>
    </row>
    <row r="51" spans="1:4" x14ac:dyDescent="0.35">
      <c r="A51" s="5" t="s">
        <v>154</v>
      </c>
    </row>
    <row r="52" spans="1:4" ht="30" customHeight="1" x14ac:dyDescent="0.35">
      <c r="A52" s="12" t="s">
        <v>155</v>
      </c>
      <c r="B52" s="12" t="s">
        <v>156</v>
      </c>
      <c r="C52" s="12"/>
      <c r="D52" s="12" t="s">
        <v>84</v>
      </c>
    </row>
    <row r="53" spans="1:4" x14ac:dyDescent="0.35">
      <c r="A53" s="6" t="s">
        <v>157</v>
      </c>
      <c r="B53" s="15">
        <v>0.25</v>
      </c>
      <c r="D53" s="3" t="s">
        <v>158</v>
      </c>
    </row>
    <row r="54" spans="1:4" x14ac:dyDescent="0.35">
      <c r="A54" s="6" t="s">
        <v>159</v>
      </c>
      <c r="B54" s="15">
        <v>0.2</v>
      </c>
      <c r="D54" s="3" t="s">
        <v>160</v>
      </c>
    </row>
    <row r="55" spans="1:4" x14ac:dyDescent="0.35">
      <c r="A55" s="22" t="s">
        <v>161</v>
      </c>
      <c r="B55" s="23">
        <v>0.17</v>
      </c>
      <c r="D55" s="11" t="s">
        <v>162</v>
      </c>
    </row>
    <row r="56" spans="1:4" x14ac:dyDescent="0.35">
      <c r="A56" s="24" t="s">
        <v>163</v>
      </c>
      <c r="B56" s="25" t="s">
        <v>164</v>
      </c>
      <c r="D56" s="11" t="s">
        <v>165</v>
      </c>
    </row>
    <row r="57" spans="1:4" x14ac:dyDescent="0.35">
      <c r="A57" s="24" t="s">
        <v>166</v>
      </c>
      <c r="B57" s="26" t="s">
        <v>164</v>
      </c>
      <c r="D57" s="11" t="s">
        <v>167</v>
      </c>
    </row>
    <row r="58" spans="1:4" x14ac:dyDescent="0.35">
      <c r="A58" s="6" t="s">
        <v>168</v>
      </c>
      <c r="B58" s="15">
        <v>0.5</v>
      </c>
      <c r="D58" s="3" t="s">
        <v>169</v>
      </c>
    </row>
    <row r="59" spans="1:4" x14ac:dyDescent="0.35">
      <c r="A59" s="22" t="s">
        <v>170</v>
      </c>
      <c r="B59" s="27">
        <v>0.05</v>
      </c>
      <c r="D59" s="3" t="s">
        <v>171</v>
      </c>
    </row>
    <row r="60" spans="1:4" x14ac:dyDescent="0.35">
      <c r="A60" s="6" t="s">
        <v>172</v>
      </c>
      <c r="B60" s="15">
        <v>0.22</v>
      </c>
      <c r="D60" s="3" t="s">
        <v>173</v>
      </c>
    </row>
    <row r="61" spans="1:4" x14ac:dyDescent="0.35">
      <c r="A61" s="22" t="s">
        <v>174</v>
      </c>
      <c r="B61" s="27">
        <v>0.18</v>
      </c>
      <c r="D61" s="3" t="s">
        <v>175</v>
      </c>
    </row>
    <row r="62" spans="1:4" x14ac:dyDescent="0.35">
      <c r="A62" s="6" t="s">
        <v>176</v>
      </c>
      <c r="B62" s="15">
        <v>0.5</v>
      </c>
      <c r="D62" s="3" t="s">
        <v>177</v>
      </c>
    </row>
    <row r="63" spans="1:4" x14ac:dyDescent="0.35">
      <c r="A63" s="6" t="s">
        <v>178</v>
      </c>
      <c r="B63" s="15">
        <v>0.7</v>
      </c>
      <c r="D63" s="3" t="s">
        <v>179</v>
      </c>
    </row>
    <row r="64" spans="1:4" x14ac:dyDescent="0.35">
      <c r="A64" s="6" t="s">
        <v>180</v>
      </c>
      <c r="B64" s="15">
        <v>0.6</v>
      </c>
      <c r="D64" s="3" t="s">
        <v>181</v>
      </c>
    </row>
    <row r="65" spans="1:4" x14ac:dyDescent="0.35">
      <c r="A65" s="6" t="s">
        <v>182</v>
      </c>
      <c r="B65" s="15">
        <v>0.5</v>
      </c>
      <c r="D65" s="3" t="s">
        <v>183</v>
      </c>
    </row>
    <row r="66" spans="1:4" x14ac:dyDescent="0.35">
      <c r="A66" s="6" t="s">
        <v>184</v>
      </c>
      <c r="B66" s="15">
        <v>0.3</v>
      </c>
      <c r="D66" s="3" t="s">
        <v>185</v>
      </c>
    </row>
    <row r="67" spans="1:4" x14ac:dyDescent="0.35">
      <c r="A67" s="24" t="s">
        <v>186</v>
      </c>
      <c r="B67" s="25" t="s">
        <v>187</v>
      </c>
      <c r="D67" s="11" t="s">
        <v>188</v>
      </c>
    </row>
    <row r="69" spans="1:4" x14ac:dyDescent="0.35">
      <c r="A69" s="3" t="s">
        <v>189</v>
      </c>
    </row>
    <row r="71" spans="1:4" x14ac:dyDescent="0.35">
      <c r="A71" s="8" t="s">
        <v>190</v>
      </c>
    </row>
    <row r="72" spans="1:4" ht="27.75" customHeight="1" x14ac:dyDescent="0.35">
      <c r="A72" s="28" t="s">
        <v>155</v>
      </c>
      <c r="B72" s="28" t="s">
        <v>191</v>
      </c>
      <c r="C72" s="28"/>
      <c r="D72" s="28" t="s">
        <v>84</v>
      </c>
    </row>
    <row r="73" spans="1:4" x14ac:dyDescent="0.35">
      <c r="A73" t="s">
        <v>192</v>
      </c>
      <c r="B73" s="29">
        <v>6</v>
      </c>
      <c r="D73" s="11" t="s">
        <v>193</v>
      </c>
    </row>
    <row r="74" spans="1:4" x14ac:dyDescent="0.35">
      <c r="A74" t="s">
        <v>194</v>
      </c>
      <c r="B74" s="30">
        <f>'Price List'!$B$12*$B$73</f>
        <v>114</v>
      </c>
      <c r="D74" s="11" t="s">
        <v>195</v>
      </c>
    </row>
    <row r="75" spans="1:4" x14ac:dyDescent="0.35">
      <c r="A75" t="s">
        <v>196</v>
      </c>
      <c r="B75" s="30">
        <f>'Price List'!$B$6</f>
        <v>79</v>
      </c>
      <c r="D75" s="11" t="s">
        <v>197</v>
      </c>
    </row>
    <row r="76" spans="1:4" x14ac:dyDescent="0.35">
      <c r="A76" t="s">
        <v>198</v>
      </c>
      <c r="B76" s="31">
        <f>$B$74/$B$75</f>
        <v>1.4430379746835442</v>
      </c>
      <c r="D76" s="11" t="s">
        <v>199</v>
      </c>
    </row>
    <row r="77" spans="1:4" x14ac:dyDescent="0.35">
      <c r="A77" t="s">
        <v>200</v>
      </c>
      <c r="B77" s="29">
        <v>1</v>
      </c>
      <c r="D77" s="11" t="s">
        <v>201</v>
      </c>
    </row>
    <row r="78" spans="1:4" x14ac:dyDescent="0.35">
      <c r="A78" t="s">
        <v>202</v>
      </c>
      <c r="B78" s="30">
        <f>(12-12/$B$73)*$B$9</f>
        <v>3</v>
      </c>
      <c r="D78" s="11" t="s">
        <v>203</v>
      </c>
    </row>
    <row r="80" spans="1:4" x14ac:dyDescent="0.35">
      <c r="A80" s="8" t="s">
        <v>204</v>
      </c>
    </row>
    <row r="81" spans="1:5" ht="27.75" customHeight="1" x14ac:dyDescent="0.35">
      <c r="A81" s="28" t="s">
        <v>205</v>
      </c>
      <c r="B81" s="28" t="s">
        <v>206</v>
      </c>
      <c r="C81" s="28" t="s">
        <v>207</v>
      </c>
      <c r="D81" s="28" t="s">
        <v>208</v>
      </c>
    </row>
    <row r="82" spans="1:5" x14ac:dyDescent="0.35">
      <c r="A82" s="32">
        <v>0</v>
      </c>
      <c r="B82" s="33">
        <f>'Price List'!$B$6*(1-$A82-$B$25)-$B$9</f>
        <v>74.986999999999995</v>
      </c>
      <c r="C82" s="33">
        <f>$B82*$B$62-'Price List'!$B$6*$B$34</f>
        <v>29.198499999999996</v>
      </c>
      <c r="D82" s="34">
        <f>$C82/'Price List'!$B$6</f>
        <v>0.36960126582278474</v>
      </c>
    </row>
    <row r="83" spans="1:5" x14ac:dyDescent="0.35">
      <c r="A83" s="35">
        <v>0.08</v>
      </c>
      <c r="B83" s="33">
        <f>'Price List'!$B$6*(1-$A83-$B$25)-$B$9</f>
        <v>68.667000000000002</v>
      </c>
      <c r="C83" s="33">
        <f>$B83*$B$62-'Price List'!$B$6*$B$34</f>
        <v>26.038499999999999</v>
      </c>
      <c r="D83" s="34">
        <f>$C83/'Price List'!$B$6</f>
        <v>0.32960126582278482</v>
      </c>
      <c r="E83" s="11" t="s">
        <v>209</v>
      </c>
    </row>
    <row r="84" spans="1:5" x14ac:dyDescent="0.35">
      <c r="A84" s="32">
        <v>0.15</v>
      </c>
      <c r="B84" s="33">
        <f>'Price List'!$B$6*(1-$A84-$B$25)-$B$9</f>
        <v>63.137</v>
      </c>
      <c r="C84" s="33">
        <f>$B84*$B$62-'Price List'!$B$6*$B$34</f>
        <v>23.273499999999999</v>
      </c>
      <c r="D84" s="34">
        <f>$C84/'Price List'!$B$6</f>
        <v>0.29460126582278479</v>
      </c>
    </row>
    <row r="85" spans="1:5" x14ac:dyDescent="0.35">
      <c r="A85" s="32">
        <v>0.2</v>
      </c>
      <c r="B85" s="33">
        <f>'Price List'!$B$6*(1-$A85-$B$25)-$B$9</f>
        <v>59.187000000000005</v>
      </c>
      <c r="C85" s="33">
        <f>$B85*$B$62-'Price List'!$B$6*$B$34</f>
        <v>21.298500000000004</v>
      </c>
      <c r="D85" s="34">
        <f>$C85/'Price List'!$B$6</f>
        <v>0.26960126582278487</v>
      </c>
    </row>
    <row r="86" spans="1:5" x14ac:dyDescent="0.35">
      <c r="A86" s="11" t="s">
        <v>210</v>
      </c>
    </row>
    <row r="87" spans="1:5" x14ac:dyDescent="0.35">
      <c r="A87" s="11" t="s">
        <v>211</v>
      </c>
    </row>
    <row r="88" spans="1:5" x14ac:dyDescent="0.35">
      <c r="A88" s="11" t="s">
        <v>212</v>
      </c>
    </row>
    <row r="89" spans="1:5" x14ac:dyDescent="0.35">
      <c r="A89" s="11" t="s">
        <v>213</v>
      </c>
    </row>
    <row r="90" spans="1:5" x14ac:dyDescent="0.35">
      <c r="A90" s="11" t="s">
        <v>214</v>
      </c>
    </row>
    <row r="91" spans="1:5" x14ac:dyDescent="0.35">
      <c r="A91" s="11" t="s">
        <v>215</v>
      </c>
    </row>
    <row r="94" spans="1:5" x14ac:dyDescent="0.35">
      <c r="A94" s="8" t="s">
        <v>216</v>
      </c>
    </row>
    <row r="95" spans="1:5" ht="27.75" customHeight="1" x14ac:dyDescent="0.35">
      <c r="A95" s="28" t="s">
        <v>217</v>
      </c>
      <c r="B95" s="28" t="s">
        <v>218</v>
      </c>
      <c r="C95" s="28"/>
      <c r="D95" s="28" t="s">
        <v>84</v>
      </c>
    </row>
    <row r="96" spans="1:5" x14ac:dyDescent="0.35">
      <c r="A96" t="s">
        <v>219</v>
      </c>
      <c r="B96" s="36" t="s">
        <v>220</v>
      </c>
      <c r="D96" s="11" t="s">
        <v>221</v>
      </c>
    </row>
    <row r="97" spans="1:4" x14ac:dyDescent="0.35">
      <c r="A97" t="s">
        <v>222</v>
      </c>
      <c r="B97" s="36" t="s">
        <v>223</v>
      </c>
      <c r="D97" s="11" t="s">
        <v>224</v>
      </c>
    </row>
    <row r="98" spans="1:4" x14ac:dyDescent="0.35">
      <c r="A98" t="s">
        <v>225</v>
      </c>
      <c r="B98" s="29">
        <v>30</v>
      </c>
      <c r="D98" s="11" t="s">
        <v>226</v>
      </c>
    </row>
    <row r="99" spans="1:4" x14ac:dyDescent="0.35">
      <c r="A99" t="s">
        <v>227</v>
      </c>
      <c r="B99" s="36" t="s">
        <v>228</v>
      </c>
      <c r="D99" s="11" t="s">
        <v>229</v>
      </c>
    </row>
    <row r="100" spans="1:4" x14ac:dyDescent="0.35">
      <c r="A100" t="s">
        <v>230</v>
      </c>
      <c r="B100" s="36" t="s">
        <v>107</v>
      </c>
      <c r="D100" s="11" t="s">
        <v>231</v>
      </c>
    </row>
    <row r="101" spans="1:4" x14ac:dyDescent="0.35">
      <c r="A101" t="s">
        <v>232</v>
      </c>
      <c r="B101" s="32">
        <v>0</v>
      </c>
      <c r="D101" s="11" t="s">
        <v>233</v>
      </c>
    </row>
    <row r="102" spans="1:4" x14ac:dyDescent="0.35">
      <c r="A102" t="s">
        <v>234</v>
      </c>
      <c r="B102" s="30">
        <f>'Price List'!$B$6*$B$25+$B$9</f>
        <v>4.0129999999999999</v>
      </c>
      <c r="D102" s="11" t="s">
        <v>235</v>
      </c>
    </row>
    <row r="103" spans="1:4" x14ac:dyDescent="0.35">
      <c r="A103" t="s">
        <v>236</v>
      </c>
      <c r="B103" s="30">
        <f>100*$B$31*('Price List'!$B$6*$B$25+$B$9)</f>
        <v>16.052</v>
      </c>
      <c r="D103" s="11" t="s">
        <v>237</v>
      </c>
    </row>
    <row r="104" spans="1:4" x14ac:dyDescent="0.35">
      <c r="A104" t="s">
        <v>238</v>
      </c>
      <c r="B104" s="36" t="s">
        <v>239</v>
      </c>
      <c r="D104" s="11" t="s">
        <v>240</v>
      </c>
    </row>
    <row r="105" spans="1:4" x14ac:dyDescent="0.35">
      <c r="A105" t="s">
        <v>241</v>
      </c>
      <c r="B105" s="36" t="s">
        <v>242</v>
      </c>
      <c r="D105" s="11" t="s">
        <v>243</v>
      </c>
    </row>
    <row r="107" spans="1:4" x14ac:dyDescent="0.35">
      <c r="A107" s="11" t="s">
        <v>244</v>
      </c>
    </row>
    <row r="108" spans="1:4" x14ac:dyDescent="0.35">
      <c r="A108" s="11" t="s">
        <v>245</v>
      </c>
    </row>
    <row r="109" spans="1:4" x14ac:dyDescent="0.35">
      <c r="A109" s="11" t="s">
        <v>246</v>
      </c>
    </row>
    <row r="110" spans="1:4" x14ac:dyDescent="0.35">
      <c r="A110" s="11" t="s">
        <v>247</v>
      </c>
    </row>
    <row r="112" spans="1:4" x14ac:dyDescent="0.35">
      <c r="A112" s="11" t="s">
        <v>248</v>
      </c>
    </row>
    <row r="113" spans="1:1" x14ac:dyDescent="0.35">
      <c r="A113" s="11" t="s">
        <v>249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F20"/>
  <sheetViews>
    <sheetView showGridLines="0" zoomScaleNormal="100" workbookViewId="0">
      <pane ySplit="3" topLeftCell="A4" activePane="bottomLeft" state="frozen"/>
      <selection pane="bottomLeft" activeCell="A9" sqref="A9"/>
    </sheetView>
  </sheetViews>
  <sheetFormatPr defaultColWidth="8.6328125" defaultRowHeight="14.5" x14ac:dyDescent="0.35"/>
  <cols>
    <col min="1" max="1" width="44" customWidth="1"/>
    <col min="2" max="5" width="13" customWidth="1"/>
    <col min="6" max="6" width="52" customWidth="1"/>
  </cols>
  <sheetData>
    <row r="1" spans="1:6" ht="18" customHeight="1" x14ac:dyDescent="0.4">
      <c r="A1" s="4" t="s">
        <v>250</v>
      </c>
    </row>
    <row r="2" spans="1:6" x14ac:dyDescent="0.35">
      <c r="A2" s="3" t="s">
        <v>251</v>
      </c>
    </row>
    <row r="4" spans="1:6" ht="30" customHeight="1" x14ac:dyDescent="0.35">
      <c r="A4" s="12" t="s">
        <v>252</v>
      </c>
      <c r="B4" s="12" t="s">
        <v>253</v>
      </c>
      <c r="C4" s="12" t="s">
        <v>104</v>
      </c>
      <c r="D4" s="12" t="s">
        <v>254</v>
      </c>
      <c r="E4" s="12" t="s">
        <v>208</v>
      </c>
      <c r="F4" s="12" t="s">
        <v>255</v>
      </c>
    </row>
    <row r="5" spans="1:6" x14ac:dyDescent="0.35">
      <c r="A5" s="6" t="s">
        <v>256</v>
      </c>
      <c r="B5" s="37">
        <v>29</v>
      </c>
      <c r="C5" s="38">
        <f>B5-B5*Assumptions!$B$17-(B5*Assumptions!$B$25+Assumptions!$B$9)</f>
        <v>25.016999999999999</v>
      </c>
      <c r="D5" s="38">
        <f>C5*Assumptions!$B$62-B5*Assumptions!$B$34</f>
        <v>9.4634999999999998</v>
      </c>
      <c r="E5" s="19">
        <f t="shared" ref="E5:E10" si="0">IF(B5=0,0,D5/B5)</f>
        <v>0.32632758620689656</v>
      </c>
      <c r="F5" s="22" t="s">
        <v>257</v>
      </c>
    </row>
    <row r="6" spans="1:6" x14ac:dyDescent="0.35">
      <c r="A6" s="6" t="s">
        <v>258</v>
      </c>
      <c r="B6" s="37">
        <v>79</v>
      </c>
      <c r="C6" s="38">
        <f>B6-B6*Assumptions!$B$17-(B6*Assumptions!$B$25+Assumptions!$B$9)</f>
        <v>68.667000000000002</v>
      </c>
      <c r="D6" s="38">
        <f>C6*Assumptions!$B$62-B6*Assumptions!$B$34</f>
        <v>26.038499999999999</v>
      </c>
      <c r="E6" s="19">
        <f t="shared" si="0"/>
        <v>0.32960126582278482</v>
      </c>
      <c r="F6" s="22" t="s">
        <v>257</v>
      </c>
    </row>
    <row r="7" spans="1:6" x14ac:dyDescent="0.35">
      <c r="A7" s="6" t="s">
        <v>259</v>
      </c>
      <c r="B7" s="37">
        <v>299</v>
      </c>
      <c r="C7" s="38">
        <f>B7-B7*Assumptions!$B$17-(B7*Assumptions!$B$25+Assumptions!$B$9)</f>
        <v>260.72699999999998</v>
      </c>
      <c r="D7" s="38">
        <f>C7*Assumptions!$B$62-B7*Assumptions!$B$34</f>
        <v>98.968499999999992</v>
      </c>
      <c r="E7" s="19">
        <f t="shared" si="0"/>
        <v>0.3309983277591973</v>
      </c>
      <c r="F7" s="22" t="s">
        <v>260</v>
      </c>
    </row>
    <row r="8" spans="1:6" x14ac:dyDescent="0.35">
      <c r="A8" s="6" t="s">
        <v>261</v>
      </c>
      <c r="B8" s="37">
        <v>249</v>
      </c>
      <c r="C8" s="38">
        <f>B8-B8*Assumptions!$B$17-(B8*Assumptions!$B$25+Assumptions!$B$9)</f>
        <v>217.077</v>
      </c>
      <c r="D8" s="38">
        <f>C8*Assumptions!$B$62-B8*Assumptions!$B$34</f>
        <v>82.393500000000003</v>
      </c>
      <c r="E8" s="19">
        <f t="shared" si="0"/>
        <v>0.33089759036144578</v>
      </c>
      <c r="F8" s="22" t="s">
        <v>260</v>
      </c>
    </row>
    <row r="9" spans="1:6" x14ac:dyDescent="0.35">
      <c r="A9" s="6" t="s">
        <v>262</v>
      </c>
      <c r="B9" s="39">
        <f>B8*20</f>
        <v>4980</v>
      </c>
      <c r="C9" s="38">
        <f>B9-B9*Assumptions!$B$17-(B9*Assumptions!$B$25+Assumptions!$B$9)</f>
        <v>4347.2400000000007</v>
      </c>
      <c r="D9" s="38">
        <f>C9*Assumptions!$B$62-B9*Assumptions!$B$34</f>
        <v>1650.7200000000003</v>
      </c>
      <c r="E9" s="19">
        <f t="shared" si="0"/>
        <v>0.33146987951807233</v>
      </c>
      <c r="F9" s="22" t="s">
        <v>260</v>
      </c>
    </row>
    <row r="10" spans="1:6" x14ac:dyDescent="0.35">
      <c r="A10" s="6" t="s">
        <v>263</v>
      </c>
      <c r="B10" s="37">
        <v>12</v>
      </c>
      <c r="C10" s="38">
        <f>B10-B10*Assumptions!$B$17-(B10*Assumptions!$B$25+Assumptions!$B$9)</f>
        <v>10.175999999999998</v>
      </c>
      <c r="D10" s="38">
        <f>C10*Assumptions!$B$62-B10*Assumptions!$B$34</f>
        <v>3.8279999999999994</v>
      </c>
      <c r="E10" s="19">
        <f t="shared" si="0"/>
        <v>0.31899999999999995</v>
      </c>
      <c r="F10" s="22" t="s">
        <v>264</v>
      </c>
    </row>
    <row r="11" spans="1:6" x14ac:dyDescent="0.35">
      <c r="A11" s="6" t="s">
        <v>265</v>
      </c>
      <c r="B11" s="3" t="s">
        <v>266</v>
      </c>
      <c r="F11" s="22" t="s">
        <v>264</v>
      </c>
    </row>
    <row r="12" spans="1:6" x14ac:dyDescent="0.35">
      <c r="A12" s="6" t="s">
        <v>267</v>
      </c>
      <c r="B12" s="37">
        <v>19</v>
      </c>
      <c r="C12" s="38">
        <f>B12-B12*Assumptions!$B$17-(B12*Assumptions!$B$25+Assumptions!$B$9)</f>
        <v>16.286999999999999</v>
      </c>
      <c r="D12" s="38">
        <f>C12*Assumptions!$B$62-B12*Assumptions!$B$34</f>
        <v>6.1484999999999994</v>
      </c>
      <c r="E12" s="19">
        <f>IF(B12=0,0,D12/B12)</f>
        <v>0.32360526315789473</v>
      </c>
      <c r="F12" s="3" t="s">
        <v>268</v>
      </c>
    </row>
    <row r="13" spans="1:6" x14ac:dyDescent="0.35">
      <c r="A13" s="6" t="s">
        <v>269</v>
      </c>
      <c r="B13" s="37">
        <v>180</v>
      </c>
      <c r="C13" s="38">
        <f>B13-B13*Assumptions!$B$17-(B13*Assumptions!$B$25+Assumptions!$B$9)</f>
        <v>156.84</v>
      </c>
      <c r="D13" s="38">
        <f>C13*Assumptions!$B$62-B13*Assumptions!$B$34</f>
        <v>59.52</v>
      </c>
      <c r="E13" s="19">
        <f>IF(B13=0,0,D13/B13)</f>
        <v>0.33066666666666666</v>
      </c>
      <c r="F13" s="3" t="s">
        <v>270</v>
      </c>
    </row>
    <row r="15" spans="1:6" x14ac:dyDescent="0.35">
      <c r="A15" s="126" t="s">
        <v>271</v>
      </c>
      <c r="B15" s="126"/>
      <c r="C15" s="126"/>
      <c r="D15" s="126"/>
      <c r="E15" s="126"/>
      <c r="F15" s="126"/>
    </row>
    <row r="17" spans="1:1" x14ac:dyDescent="0.35">
      <c r="A17" s="11" t="s">
        <v>272</v>
      </c>
    </row>
    <row r="18" spans="1:1" x14ac:dyDescent="0.35">
      <c r="A18" s="11" t="s">
        <v>273</v>
      </c>
    </row>
    <row r="19" spans="1:1" x14ac:dyDescent="0.35">
      <c r="A19" s="11" t="s">
        <v>274</v>
      </c>
    </row>
    <row r="20" spans="1:1" x14ac:dyDescent="0.35">
      <c r="A20" s="11" t="s">
        <v>275</v>
      </c>
    </row>
  </sheetData>
  <mergeCells count="1">
    <mergeCell ref="A15:F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3"/>
  <sheetViews>
    <sheetView showGridLines="0" zoomScaleNormal="100" workbookViewId="0">
      <pane ySplit="3" topLeftCell="A4" activePane="bottomLeft" state="frozen"/>
      <selection pane="bottomLeft"/>
    </sheetView>
  </sheetViews>
  <sheetFormatPr defaultColWidth="8.6328125" defaultRowHeight="14.5" x14ac:dyDescent="0.35"/>
  <cols>
    <col min="1" max="1" width="44" customWidth="1"/>
    <col min="2" max="3" width="16" customWidth="1"/>
    <col min="4" max="4" width="62" customWidth="1"/>
  </cols>
  <sheetData>
    <row r="1" spans="1:4" ht="18" customHeight="1" x14ac:dyDescent="0.4">
      <c r="A1" s="4" t="s">
        <v>276</v>
      </c>
    </row>
    <row r="2" spans="1:4" x14ac:dyDescent="0.35">
      <c r="A2" s="3" t="s">
        <v>277</v>
      </c>
    </row>
    <row r="4" spans="1:4" x14ac:dyDescent="0.35">
      <c r="A4" s="5" t="s">
        <v>278</v>
      </c>
    </row>
    <row r="5" spans="1:4" ht="15" customHeight="1" x14ac:dyDescent="0.35">
      <c r="A5" s="127" t="s">
        <v>279</v>
      </c>
      <c r="B5" s="127"/>
      <c r="C5" s="127"/>
      <c r="D5" s="127"/>
    </row>
    <row r="6" spans="1:4" ht="15" customHeight="1" x14ac:dyDescent="0.35">
      <c r="A6" s="127" t="s">
        <v>280</v>
      </c>
      <c r="B6" s="127"/>
      <c r="C6" s="127"/>
      <c r="D6" s="127"/>
    </row>
    <row r="7" spans="1:4" ht="15" customHeight="1" x14ac:dyDescent="0.35">
      <c r="A7" s="127" t="s">
        <v>281</v>
      </c>
      <c r="B7" s="127"/>
      <c r="C7" s="127"/>
      <c r="D7" s="127"/>
    </row>
    <row r="9" spans="1:4" x14ac:dyDescent="0.35">
      <c r="A9" s="5" t="s">
        <v>282</v>
      </c>
    </row>
    <row r="10" spans="1:4" ht="30" customHeight="1" x14ac:dyDescent="0.35">
      <c r="A10" s="12" t="s">
        <v>252</v>
      </c>
      <c r="B10" s="12" t="s">
        <v>283</v>
      </c>
      <c r="C10" s="12" t="s">
        <v>284</v>
      </c>
      <c r="D10" s="12" t="s">
        <v>285</v>
      </c>
    </row>
    <row r="11" spans="1:4" x14ac:dyDescent="0.35">
      <c r="A11" s="6" t="s">
        <v>286</v>
      </c>
      <c r="B11" s="40" t="s">
        <v>99</v>
      </c>
      <c r="C11" s="6" t="s">
        <v>287</v>
      </c>
      <c r="D11" s="3" t="s">
        <v>288</v>
      </c>
    </row>
    <row r="12" spans="1:4" x14ac:dyDescent="0.35">
      <c r="A12" s="6" t="s">
        <v>289</v>
      </c>
      <c r="B12" s="40" t="s">
        <v>99</v>
      </c>
      <c r="C12" s="6" t="s">
        <v>287</v>
      </c>
      <c r="D12" s="3" t="s">
        <v>290</v>
      </c>
    </row>
    <row r="13" spans="1:4" x14ac:dyDescent="0.35">
      <c r="A13" s="6" t="s">
        <v>291</v>
      </c>
      <c r="B13" s="41" t="s">
        <v>292</v>
      </c>
      <c r="C13" s="6" t="s">
        <v>293</v>
      </c>
      <c r="D13" s="3" t="s">
        <v>294</v>
      </c>
    </row>
    <row r="14" spans="1:4" x14ac:dyDescent="0.35">
      <c r="A14" s="6" t="s">
        <v>295</v>
      </c>
      <c r="B14" s="41" t="s">
        <v>292</v>
      </c>
      <c r="C14" s="6" t="s">
        <v>296</v>
      </c>
      <c r="D14" s="3" t="s">
        <v>297</v>
      </c>
    </row>
    <row r="15" spans="1:4" x14ac:dyDescent="0.35">
      <c r="A15" s="6" t="s">
        <v>298</v>
      </c>
      <c r="B15" s="41" t="s">
        <v>292</v>
      </c>
      <c r="C15" s="6" t="s">
        <v>299</v>
      </c>
      <c r="D15" s="3" t="s">
        <v>300</v>
      </c>
    </row>
    <row r="16" spans="1:4" x14ac:dyDescent="0.35">
      <c r="A16" s="6" t="s">
        <v>301</v>
      </c>
      <c r="B16" s="41" t="s">
        <v>292</v>
      </c>
      <c r="C16" s="6" t="s">
        <v>302</v>
      </c>
      <c r="D16" s="3" t="s">
        <v>303</v>
      </c>
    </row>
    <row r="17" spans="1:4" x14ac:dyDescent="0.35">
      <c r="A17" s="6" t="s">
        <v>265</v>
      </c>
      <c r="B17" s="41" t="s">
        <v>292</v>
      </c>
      <c r="C17" s="6" t="s">
        <v>304</v>
      </c>
      <c r="D17" s="3" t="s">
        <v>305</v>
      </c>
    </row>
    <row r="18" spans="1:4" x14ac:dyDescent="0.35">
      <c r="A18" s="6" t="s">
        <v>306</v>
      </c>
      <c r="B18" s="41" t="s">
        <v>292</v>
      </c>
      <c r="C18" s="6" t="s">
        <v>293</v>
      </c>
      <c r="D18" s="3" t="s">
        <v>307</v>
      </c>
    </row>
    <row r="20" spans="1:4" x14ac:dyDescent="0.35">
      <c r="A20" s="3" t="s">
        <v>308</v>
      </c>
    </row>
    <row r="22" spans="1:4" x14ac:dyDescent="0.35">
      <c r="A22" s="5" t="s">
        <v>309</v>
      </c>
    </row>
    <row r="23" spans="1:4" ht="15" customHeight="1" x14ac:dyDescent="0.35">
      <c r="A23" s="127" t="s">
        <v>310</v>
      </c>
      <c r="B23" s="127"/>
      <c r="C23" s="127"/>
      <c r="D23" s="127"/>
    </row>
    <row r="24" spans="1:4" ht="15" customHeight="1" x14ac:dyDescent="0.35">
      <c r="A24" s="127" t="s">
        <v>311</v>
      </c>
      <c r="B24" s="127"/>
      <c r="C24" s="127"/>
      <c r="D24" s="127"/>
    </row>
    <row r="25" spans="1:4" ht="23.25" customHeight="1" x14ac:dyDescent="0.35">
      <c r="A25" s="127" t="s">
        <v>312</v>
      </c>
      <c r="B25" s="127"/>
      <c r="C25" s="127"/>
      <c r="D25" s="127"/>
    </row>
    <row r="26" spans="1:4" ht="15" customHeight="1" x14ac:dyDescent="0.35">
      <c r="A26" s="127" t="s">
        <v>313</v>
      </c>
      <c r="B26" s="127"/>
      <c r="C26" s="127"/>
      <c r="D26" s="127"/>
    </row>
    <row r="28" spans="1:4" x14ac:dyDescent="0.35">
      <c r="A28" s="5" t="s">
        <v>314</v>
      </c>
    </row>
    <row r="29" spans="1:4" x14ac:dyDescent="0.35">
      <c r="A29" s="6" t="s">
        <v>315</v>
      </c>
      <c r="B29" s="42">
        <f>('Price List'!C6)*(1-Assumptions!$B$62)</f>
        <v>34.333500000000001</v>
      </c>
    </row>
    <row r="30" spans="1:4" x14ac:dyDescent="0.35">
      <c r="A30" s="6" t="s">
        <v>316</v>
      </c>
      <c r="B30" s="43">
        <f>Subscription!B26</f>
        <v>9.4688750000000006</v>
      </c>
    </row>
    <row r="31" spans="1:4" x14ac:dyDescent="0.35">
      <c r="A31" s="7" t="s">
        <v>317</v>
      </c>
      <c r="B31" s="44">
        <f>IF(B30=0,0,B29/B30*1000)</f>
        <v>3625.9323309263241</v>
      </c>
    </row>
    <row r="32" spans="1:4" x14ac:dyDescent="0.35">
      <c r="A32" s="6" t="s">
        <v>318</v>
      </c>
      <c r="B32" s="45">
        <f>IF(B30=0,0,B29/B30*1000/60)</f>
        <v>60.432205515438731</v>
      </c>
    </row>
    <row r="33" spans="1:4" x14ac:dyDescent="0.35">
      <c r="A33" s="126" t="s">
        <v>319</v>
      </c>
      <c r="B33" s="126"/>
      <c r="C33" s="126"/>
      <c r="D33" s="126"/>
    </row>
  </sheetData>
  <mergeCells count="8">
    <mergeCell ref="A25:D25"/>
    <mergeCell ref="A26:D26"/>
    <mergeCell ref="A33:D33"/>
    <mergeCell ref="A5:D5"/>
    <mergeCell ref="A6:D6"/>
    <mergeCell ref="A7:D7"/>
    <mergeCell ref="A23:D23"/>
    <mergeCell ref="A24:D2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9"/>
  <sheetViews>
    <sheetView showGridLines="0" zoomScale="140" zoomScaleNormal="140" workbookViewId="0">
      <pane ySplit="3" topLeftCell="A4" activePane="bottomLeft" state="frozen"/>
      <selection pane="bottomLeft" activeCell="A15" sqref="A15"/>
    </sheetView>
  </sheetViews>
  <sheetFormatPr defaultColWidth="8.6328125" defaultRowHeight="14.5" x14ac:dyDescent="0.35"/>
  <cols>
    <col min="1" max="1" width="28" customWidth="1"/>
    <col min="2" max="5" width="13" customWidth="1"/>
    <col min="6" max="6" width="46" customWidth="1"/>
  </cols>
  <sheetData>
    <row r="1" spans="1:6" ht="18" customHeight="1" x14ac:dyDescent="0.4">
      <c r="A1" s="4" t="s">
        <v>38</v>
      </c>
    </row>
    <row r="2" spans="1:6" x14ac:dyDescent="0.35">
      <c r="A2" s="3" t="s">
        <v>320</v>
      </c>
    </row>
    <row r="4" spans="1:6" ht="30" customHeight="1" x14ac:dyDescent="0.35">
      <c r="A4" s="12" t="s">
        <v>321</v>
      </c>
      <c r="B4" s="12" t="s">
        <v>322</v>
      </c>
      <c r="C4" s="12" t="s">
        <v>323</v>
      </c>
      <c r="D4" s="12" t="s">
        <v>104</v>
      </c>
      <c r="E4" s="12" t="s">
        <v>324</v>
      </c>
      <c r="F4" s="12" t="s">
        <v>252</v>
      </c>
    </row>
    <row r="5" spans="1:6" x14ac:dyDescent="0.35">
      <c r="A5" s="46">
        <v>12</v>
      </c>
      <c r="B5" s="38">
        <f>A5*Assumptions!$B$17</f>
        <v>0.96</v>
      </c>
      <c r="C5" s="38">
        <f>A5*Assumptions!$B$25+Assumptions!$B$9</f>
        <v>0.86399999999999988</v>
      </c>
      <c r="D5" s="47">
        <f t="shared" ref="D5:D12" si="0">A5-B5-C5</f>
        <v>10.175999999999998</v>
      </c>
      <c r="E5" s="48">
        <f t="shared" ref="E5:E12" si="1">D5/A5</f>
        <v>0.84799999999999986</v>
      </c>
      <c r="F5" s="3" t="s">
        <v>325</v>
      </c>
    </row>
    <row r="6" spans="1:6" x14ac:dyDescent="0.35">
      <c r="A6" s="46">
        <v>19</v>
      </c>
      <c r="B6" s="38">
        <f>A6*Assumptions!$B$17</f>
        <v>1.52</v>
      </c>
      <c r="C6" s="38">
        <f>A6*Assumptions!$B$25+Assumptions!$B$9</f>
        <v>1.1929999999999998</v>
      </c>
      <c r="D6" s="47">
        <f t="shared" si="0"/>
        <v>16.286999999999999</v>
      </c>
      <c r="E6" s="48">
        <f t="shared" si="1"/>
        <v>0.85721052631578942</v>
      </c>
      <c r="F6" s="3" t="s">
        <v>326</v>
      </c>
    </row>
    <row r="7" spans="1:6" x14ac:dyDescent="0.35">
      <c r="A7" s="46">
        <v>29</v>
      </c>
      <c r="B7" s="38">
        <f>A7*Assumptions!$B$17</f>
        <v>2.3199999999999998</v>
      </c>
      <c r="C7" s="38">
        <f>A7*Assumptions!$B$25+Assumptions!$B$9</f>
        <v>1.6629999999999998</v>
      </c>
      <c r="D7" s="47">
        <f t="shared" si="0"/>
        <v>25.016999999999999</v>
      </c>
      <c r="E7" s="48">
        <f t="shared" si="1"/>
        <v>0.86265517241379308</v>
      </c>
      <c r="F7" s="3" t="s">
        <v>327</v>
      </c>
    </row>
    <row r="8" spans="1:6" x14ac:dyDescent="0.35">
      <c r="A8" s="46">
        <v>30</v>
      </c>
      <c r="B8" s="38">
        <f>A8*Assumptions!$B$17</f>
        <v>2.4</v>
      </c>
      <c r="C8" s="38">
        <f>A8*Assumptions!$B$25+Assumptions!$B$9</f>
        <v>1.7099999999999997</v>
      </c>
      <c r="D8" s="47">
        <f t="shared" si="0"/>
        <v>25.89</v>
      </c>
      <c r="E8" s="48">
        <f t="shared" si="1"/>
        <v>0.86299999999999999</v>
      </c>
      <c r="F8" s="3" t="s">
        <v>328</v>
      </c>
    </row>
    <row r="9" spans="1:6" x14ac:dyDescent="0.35">
      <c r="A9" s="46">
        <v>79</v>
      </c>
      <c r="B9" s="38">
        <f>A9*Assumptions!$B$17</f>
        <v>6.32</v>
      </c>
      <c r="C9" s="38">
        <f>A9*Assumptions!$B$25+Assumptions!$B$9</f>
        <v>4.0129999999999999</v>
      </c>
      <c r="D9" s="47">
        <f t="shared" si="0"/>
        <v>68.667000000000002</v>
      </c>
      <c r="E9" s="48">
        <f t="shared" si="1"/>
        <v>0.8692025316455696</v>
      </c>
      <c r="F9" s="3" t="s">
        <v>329</v>
      </c>
    </row>
    <row r="10" spans="1:6" x14ac:dyDescent="0.35">
      <c r="A10" s="46">
        <v>180</v>
      </c>
      <c r="B10" s="38">
        <f>A10*Assumptions!$B$17</f>
        <v>14.4</v>
      </c>
      <c r="C10" s="38">
        <f>A10*Assumptions!$B$25+Assumptions!$B$9</f>
        <v>8.76</v>
      </c>
      <c r="D10" s="47">
        <f t="shared" si="0"/>
        <v>156.84</v>
      </c>
      <c r="E10" s="48">
        <f t="shared" si="1"/>
        <v>0.8713333333333334</v>
      </c>
      <c r="F10" s="3" t="s">
        <v>330</v>
      </c>
    </row>
    <row r="11" spans="1:6" x14ac:dyDescent="0.35">
      <c r="A11" s="46">
        <v>285</v>
      </c>
      <c r="B11" s="38">
        <f>A11*Assumptions!$B$17</f>
        <v>22.8</v>
      </c>
      <c r="C11" s="38">
        <f>A11*Assumptions!$B$25+Assumptions!$B$9</f>
        <v>13.694999999999999</v>
      </c>
      <c r="D11" s="47">
        <f t="shared" si="0"/>
        <v>248.505</v>
      </c>
      <c r="E11" s="48">
        <f t="shared" si="1"/>
        <v>0.87194736842105258</v>
      </c>
      <c r="F11" s="3" t="s">
        <v>331</v>
      </c>
    </row>
    <row r="12" spans="1:6" x14ac:dyDescent="0.35">
      <c r="A12" s="46">
        <v>299</v>
      </c>
      <c r="B12" s="38">
        <f>A12*Assumptions!$B$17</f>
        <v>23.92</v>
      </c>
      <c r="C12" s="38">
        <f>A12*Assumptions!$B$25+Assumptions!$B$9</f>
        <v>14.352999999999998</v>
      </c>
      <c r="D12" s="47">
        <f t="shared" si="0"/>
        <v>260.72699999999998</v>
      </c>
      <c r="E12" s="48">
        <f t="shared" si="1"/>
        <v>0.87199665551839456</v>
      </c>
      <c r="F12" s="3" t="s">
        <v>332</v>
      </c>
    </row>
    <row r="14" spans="1:6" x14ac:dyDescent="0.35">
      <c r="A14" s="8" t="s">
        <v>333</v>
      </c>
    </row>
    <row r="15" spans="1:6" ht="30" customHeight="1" x14ac:dyDescent="0.35">
      <c r="A15" s="28" t="s">
        <v>334</v>
      </c>
      <c r="B15" s="28" t="s">
        <v>335</v>
      </c>
      <c r="C15" s="28" t="s">
        <v>336</v>
      </c>
      <c r="D15" s="28" t="s">
        <v>337</v>
      </c>
      <c r="E15" s="28" t="s">
        <v>338</v>
      </c>
      <c r="F15" s="28" t="s">
        <v>339</v>
      </c>
    </row>
    <row r="16" spans="1:6" x14ac:dyDescent="0.35">
      <c r="A16" s="6" t="s">
        <v>340</v>
      </c>
      <c r="B16" s="47">
        <f>IF(Assumptions!$B$61*(1-Assumptions!$B$17-Assumptions!$B$25)-Assumptions!$B$34&lt;=0,"never profitable",Assumptions!$B$61*Assumptions!$B$9/(Assumptions!$B$61*(1-Assumptions!$B$17-Assumptions!$B$25)-Assumptions!$B$34))</f>
        <v>1.0356731875719216</v>
      </c>
      <c r="C16" s="49" t="s">
        <v>341</v>
      </c>
      <c r="D16" s="50">
        <f>Courses!$F$8</f>
        <v>4.0650600000000008</v>
      </c>
      <c r="E16" s="51">
        <f>IF($D16&lt;=0,"n/a",Assumptions!$B$49/$D16)</f>
        <v>830.12304861428845</v>
      </c>
      <c r="F16" s="11" t="s">
        <v>342</v>
      </c>
    </row>
    <row r="17" spans="1:6" x14ac:dyDescent="0.35">
      <c r="A17" s="6" t="s">
        <v>343</v>
      </c>
      <c r="B17" s="47">
        <f>IF(Assumptions!$B$60*(1-Assumptions!$B$17-Assumptions!$C$25)-Assumptions!$C$34&lt;=0,"never profitable",Assumptions!$B$60*Assumptions!$B$9/(Assumptions!$B$60*(1-Assumptions!$B$17-Assumptions!$C$25)-Assumptions!$C$34))</f>
        <v>0.64115018457353801</v>
      </c>
      <c r="C17" s="49" t="s">
        <v>344</v>
      </c>
      <c r="D17" s="50">
        <f>'Group Classes'!$E$9</f>
        <v>9.816239999999997</v>
      </c>
      <c r="E17" s="51">
        <f>IF($D17&lt;=0,"n/a",Assumptions!$B$49/$D17)</f>
        <v>343.76706355997828</v>
      </c>
      <c r="F17" s="11" t="s">
        <v>342</v>
      </c>
    </row>
    <row r="18" spans="1:6" x14ac:dyDescent="0.35">
      <c r="A18" s="6" t="s">
        <v>345</v>
      </c>
      <c r="B18" s="47">
        <f>IF(Assumptions!$B$53*(1-Assumptions!$B$17-Assumptions!$C$25)-Assumptions!$C$34&lt;=0,"never profitable",Assumptions!$B$53*Assumptions!$B$9/(Assumptions!$B$53*(1-Assumptions!$B$17-Assumptions!$C$25)-Assumptions!$C$34))</f>
        <v>0.58027079303675044</v>
      </c>
      <c r="C18" s="49" t="s">
        <v>346</v>
      </c>
      <c r="D18" s="50">
        <f>'1-on-1 Tutoring'!$F$21</f>
        <v>3.8025000000000007</v>
      </c>
      <c r="E18" s="51">
        <f>IF($D18&lt;=0,"n/a",Assumptions!$B$49/$D18)</f>
        <v>887.44247205785655</v>
      </c>
      <c r="F18" s="11" t="s">
        <v>342</v>
      </c>
    </row>
    <row r="19" spans="1:6" x14ac:dyDescent="0.35">
      <c r="A19" s="6" t="s">
        <v>347</v>
      </c>
      <c r="B19" s="47">
        <f>IF(Assumptions!$B$62*(1-Assumptions!$B$17-Assumptions!$B$25)-Assumptions!$B$34&lt;=0,"never profitable",Assumptions!$B$62*Assumptions!$B$9/(Assumptions!$B$62*(1-Assumptions!$B$17-Assumptions!$B$25)-Assumptions!$B$34))</f>
        <v>0.45248868778280538</v>
      </c>
      <c r="C19" s="49" t="s">
        <v>348</v>
      </c>
      <c r="D19" s="50">
        <f>Courses!$F$9</f>
        <v>26.038499999999999</v>
      </c>
      <c r="E19" s="51">
        <f>IF($D19&lt;=0,"n/a",Assumptions!$B$49/$D19)</f>
        <v>129.59655894156731</v>
      </c>
      <c r="F19" s="11" t="s">
        <v>342</v>
      </c>
    </row>
    <row r="21" spans="1:6" ht="15" customHeight="1" x14ac:dyDescent="0.35">
      <c r="A21" s="128" t="s">
        <v>349</v>
      </c>
      <c r="B21" s="128"/>
      <c r="C21" s="128"/>
      <c r="D21" s="128"/>
      <c r="E21" s="128"/>
      <c r="F21" s="128"/>
    </row>
    <row r="22" spans="1:6" x14ac:dyDescent="0.35">
      <c r="A22" s="128"/>
      <c r="B22" s="128"/>
      <c r="C22" s="128"/>
      <c r="D22" s="128"/>
      <c r="E22" s="128"/>
      <c r="F22" s="128"/>
    </row>
    <row r="23" spans="1:6" x14ac:dyDescent="0.35">
      <c r="A23" s="8" t="s">
        <v>350</v>
      </c>
    </row>
    <row r="24" spans="1:6" x14ac:dyDescent="0.35">
      <c r="A24" s="11" t="s">
        <v>351</v>
      </c>
    </row>
    <row r="25" spans="1:6" x14ac:dyDescent="0.35">
      <c r="A25" s="11" t="s">
        <v>352</v>
      </c>
    </row>
    <row r="26" spans="1:6" x14ac:dyDescent="0.35">
      <c r="A26" s="11" t="s">
        <v>353</v>
      </c>
    </row>
    <row r="27" spans="1:6" x14ac:dyDescent="0.35">
      <c r="A27" s="11" t="s">
        <v>354</v>
      </c>
    </row>
    <row r="28" spans="1:6" x14ac:dyDescent="0.35">
      <c r="A28" s="11" t="s">
        <v>355</v>
      </c>
    </row>
    <row r="29" spans="1:6" x14ac:dyDescent="0.35">
      <c r="A29" s="11" t="s">
        <v>356</v>
      </c>
    </row>
  </sheetData>
  <mergeCells count="1">
    <mergeCell ref="A21:F2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G27"/>
  <sheetViews>
    <sheetView showGridLines="0" zoomScale="130" zoomScaleNormal="130" workbookViewId="0">
      <pane ySplit="3" topLeftCell="A4" activePane="bottomLeft" state="frozen"/>
      <selection pane="bottomLeft" activeCell="B21" sqref="B21"/>
    </sheetView>
  </sheetViews>
  <sheetFormatPr defaultColWidth="8.6328125" defaultRowHeight="14.5" x14ac:dyDescent="0.35"/>
  <cols>
    <col min="1" max="1" width="42" customWidth="1"/>
    <col min="2" max="6" width="14" customWidth="1"/>
    <col min="7" max="7" width="54" customWidth="1"/>
  </cols>
  <sheetData>
    <row r="1" spans="1:7" ht="18" customHeight="1" x14ac:dyDescent="0.4">
      <c r="A1" s="4" t="s">
        <v>357</v>
      </c>
    </row>
    <row r="2" spans="1:7" x14ac:dyDescent="0.35">
      <c r="A2" s="3" t="s">
        <v>358</v>
      </c>
    </row>
    <row r="4" spans="1:7" x14ac:dyDescent="0.35">
      <c r="A4" s="5" t="s">
        <v>359</v>
      </c>
    </row>
    <row r="5" spans="1:7" ht="30" customHeight="1" x14ac:dyDescent="0.35">
      <c r="A5" s="12" t="s">
        <v>360</v>
      </c>
      <c r="B5" s="12" t="s">
        <v>361</v>
      </c>
      <c r="C5" s="12" t="s">
        <v>362</v>
      </c>
      <c r="D5" s="12" t="s">
        <v>363</v>
      </c>
      <c r="E5" s="12" t="s">
        <v>364</v>
      </c>
      <c r="F5" s="12"/>
      <c r="G5" s="12" t="s">
        <v>84</v>
      </c>
    </row>
    <row r="6" spans="1:7" x14ac:dyDescent="0.35">
      <c r="A6" s="7" t="s">
        <v>365</v>
      </c>
      <c r="B6" s="20">
        <v>18</v>
      </c>
      <c r="C6" s="20">
        <v>30</v>
      </c>
      <c r="D6" s="20">
        <v>55</v>
      </c>
      <c r="E6" s="20">
        <v>150</v>
      </c>
      <c r="G6" s="3" t="s">
        <v>366</v>
      </c>
    </row>
    <row r="7" spans="1:7" x14ac:dyDescent="0.35">
      <c r="A7" s="7" t="s">
        <v>367</v>
      </c>
      <c r="B7" s="20">
        <v>6</v>
      </c>
      <c r="C7" s="20">
        <v>8</v>
      </c>
      <c r="D7" s="20">
        <v>20</v>
      </c>
      <c r="E7" s="20">
        <v>60</v>
      </c>
      <c r="G7" s="3" t="s">
        <v>368</v>
      </c>
    </row>
    <row r="8" spans="1:7" x14ac:dyDescent="0.35">
      <c r="A8" s="7" t="s">
        <v>369</v>
      </c>
      <c r="G8" s="3" t="s">
        <v>370</v>
      </c>
    </row>
    <row r="11" spans="1:7" x14ac:dyDescent="0.35">
      <c r="A11" s="8" t="s">
        <v>371</v>
      </c>
    </row>
    <row r="12" spans="1:7" ht="15" customHeight="1" x14ac:dyDescent="0.35">
      <c r="A12" s="10" t="s">
        <v>372</v>
      </c>
    </row>
    <row r="13" spans="1:7" ht="15" customHeight="1" x14ac:dyDescent="0.35">
      <c r="A13" s="10" t="s">
        <v>373</v>
      </c>
    </row>
    <row r="14" spans="1:7" ht="15" customHeight="1" x14ac:dyDescent="0.35">
      <c r="A14" s="10" t="s">
        <v>374</v>
      </c>
    </row>
    <row r="15" spans="1:7" ht="23.25" customHeight="1" x14ac:dyDescent="0.35">
      <c r="A15" s="10" t="s">
        <v>375</v>
      </c>
    </row>
    <row r="17" spans="1:7" x14ac:dyDescent="0.35">
      <c r="A17" s="7" t="s">
        <v>376</v>
      </c>
      <c r="B17" s="52">
        <v>30</v>
      </c>
      <c r="G17" s="3" t="s">
        <v>377</v>
      </c>
    </row>
    <row r="18" spans="1:7" x14ac:dyDescent="0.35">
      <c r="A18" s="7" t="s">
        <v>378</v>
      </c>
      <c r="B18" s="53">
        <f>Assumptions!$B$55</f>
        <v>0.17</v>
      </c>
      <c r="G18" s="11" t="s">
        <v>379</v>
      </c>
    </row>
    <row r="20" spans="1:7" ht="30" customHeight="1" x14ac:dyDescent="0.35">
      <c r="A20" s="12" t="s">
        <v>380</v>
      </c>
      <c r="B20" s="12" t="s">
        <v>381</v>
      </c>
      <c r="C20" s="12" t="s">
        <v>382</v>
      </c>
      <c r="D20" s="12" t="s">
        <v>104</v>
      </c>
      <c r="E20" s="12" t="s">
        <v>383</v>
      </c>
      <c r="F20" s="12" t="s">
        <v>384</v>
      </c>
      <c r="G20" s="12" t="s">
        <v>385</v>
      </c>
    </row>
    <row r="21" spans="1:7" x14ac:dyDescent="0.35">
      <c r="A21" s="6" t="s">
        <v>386</v>
      </c>
      <c r="B21" s="18">
        <f>Assumptions!$B$53</f>
        <v>0.25</v>
      </c>
      <c r="C21" s="38">
        <f>$B$17</f>
        <v>30</v>
      </c>
      <c r="D21" s="38">
        <f>C21-C21*Assumptions!$B$17-(C21*Assumptions!$C$25+Assumptions!$B$9)</f>
        <v>26.01</v>
      </c>
      <c r="E21" s="42">
        <f>D21*(1-B21)</f>
        <v>19.5075</v>
      </c>
      <c r="F21" s="47">
        <f>D21*B21-C21*Assumptions!$C$34</f>
        <v>3.8025000000000007</v>
      </c>
      <c r="G21" s="54">
        <f>IF(C21=0,0,F21/C21)</f>
        <v>0.12675000000000003</v>
      </c>
    </row>
    <row r="22" spans="1:7" x14ac:dyDescent="0.35">
      <c r="A22" s="6" t="s">
        <v>387</v>
      </c>
      <c r="B22" s="18">
        <f>Assumptions!$B$54</f>
        <v>0.2</v>
      </c>
      <c r="C22" s="38">
        <f>$B$17</f>
        <v>30</v>
      </c>
      <c r="D22" s="38">
        <f>C22-C22*Assumptions!$B$17-(C22*Assumptions!$C$25+Assumptions!$B$9)</f>
        <v>26.01</v>
      </c>
      <c r="E22" s="42">
        <f>D22*(1-B22)</f>
        <v>20.808000000000003</v>
      </c>
      <c r="F22" s="47">
        <f>D22*B22-C22*Assumptions!$C$34</f>
        <v>2.5020000000000011</v>
      </c>
      <c r="G22" s="54">
        <f>IF(C22=0,0,F22/C22)</f>
        <v>8.3400000000000044E-2</v>
      </c>
    </row>
    <row r="23" spans="1:7" x14ac:dyDescent="0.35">
      <c r="A23" s="55" t="s">
        <v>388</v>
      </c>
      <c r="B23" s="56">
        <f>$B$18</f>
        <v>0.17</v>
      </c>
      <c r="C23" s="57">
        <f>$B$17</f>
        <v>30</v>
      </c>
      <c r="D23" s="57">
        <f>C23-C23*Assumptions!$B$17-(C23*Assumptions!$C$25+Assumptions!$B$9)</f>
        <v>26.01</v>
      </c>
      <c r="E23" s="58">
        <f>D23*(1-B23)</f>
        <v>21.5883</v>
      </c>
      <c r="F23" s="58">
        <f>D23*B23-C23*Assumptions!$C$34</f>
        <v>1.7217000000000007</v>
      </c>
      <c r="G23" s="59">
        <f>IF(C23=0,0,F23/C23)</f>
        <v>5.7390000000000024E-2</v>
      </c>
    </row>
    <row r="24" spans="1:7" x14ac:dyDescent="0.35">
      <c r="A24" s="6" t="s">
        <v>389</v>
      </c>
      <c r="B24" s="18">
        <f>Assumptions!$B$58</f>
        <v>0.5</v>
      </c>
      <c r="C24" s="38">
        <f>$B$17*0.5</f>
        <v>15</v>
      </c>
      <c r="D24" s="38">
        <f>C24-C24*Assumptions!$B$17-(C24*Assumptions!$C$25+Assumptions!$B$9)</f>
        <v>12.855</v>
      </c>
      <c r="E24" s="42">
        <f>D24*(1-B24)</f>
        <v>6.4275000000000002</v>
      </c>
      <c r="F24" s="47">
        <f>D24*B24-C24*Assumptions!$C$34</f>
        <v>5.0775000000000006</v>
      </c>
      <c r="G24" s="54">
        <f>IF(C24=0,0,F24/C24)</f>
        <v>0.33850000000000002</v>
      </c>
    </row>
    <row r="26" spans="1:7" ht="15" customHeight="1" x14ac:dyDescent="0.35">
      <c r="A26" s="128" t="s">
        <v>390</v>
      </c>
      <c r="B26" s="128"/>
      <c r="C26" s="128"/>
      <c r="D26" s="128"/>
      <c r="E26" s="128"/>
      <c r="F26" s="128"/>
      <c r="G26" s="128"/>
    </row>
    <row r="27" spans="1:7" x14ac:dyDescent="0.35">
      <c r="A27" s="128"/>
      <c r="B27" s="128"/>
      <c r="C27" s="128"/>
      <c r="D27" s="128"/>
      <c r="E27" s="128"/>
      <c r="F27" s="128"/>
      <c r="G27" s="128"/>
    </row>
  </sheetData>
  <mergeCells count="1">
    <mergeCell ref="A26:G2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2"/>
  <sheetViews>
    <sheetView showGridLines="0" zoomScale="130" zoomScaleNormal="130" workbookViewId="0">
      <pane ySplit="3" topLeftCell="A15" activePane="bottomLeft" state="frozen"/>
      <selection pane="bottomLeft" activeCell="B34" sqref="B34"/>
    </sheetView>
  </sheetViews>
  <sheetFormatPr defaultColWidth="8.6328125" defaultRowHeight="14.5" x14ac:dyDescent="0.35"/>
  <cols>
    <col min="1" max="1" width="40" customWidth="1"/>
    <col min="2" max="4" width="16" customWidth="1"/>
    <col min="5" max="5" width="60" customWidth="1"/>
  </cols>
  <sheetData>
    <row r="1" spans="1:5" ht="18" customHeight="1" x14ac:dyDescent="0.4">
      <c r="A1" s="4" t="s">
        <v>391</v>
      </c>
    </row>
    <row r="2" spans="1:5" x14ac:dyDescent="0.35">
      <c r="A2" s="3" t="s">
        <v>392</v>
      </c>
    </row>
    <row r="4" spans="1:5" x14ac:dyDescent="0.35">
      <c r="A4" s="7" t="s">
        <v>376</v>
      </c>
      <c r="B4" s="52">
        <v>30</v>
      </c>
    </row>
    <row r="5" spans="1:5" x14ac:dyDescent="0.35">
      <c r="A5" s="7" t="s">
        <v>393</v>
      </c>
      <c r="B5" s="18">
        <f>Assumptions!$B$53</f>
        <v>0.25</v>
      </c>
    </row>
    <row r="7" spans="1:5" ht="30" customHeight="1" x14ac:dyDescent="0.35">
      <c r="A7" s="12"/>
      <c r="B7" s="12" t="s">
        <v>394</v>
      </c>
      <c r="C7" s="12" t="s">
        <v>395</v>
      </c>
      <c r="D7" s="12" t="s">
        <v>396</v>
      </c>
      <c r="E7" s="12" t="s">
        <v>84</v>
      </c>
    </row>
    <row r="8" spans="1:5" x14ac:dyDescent="0.35">
      <c r="A8" s="6" t="s">
        <v>397</v>
      </c>
      <c r="B8" s="60">
        <f>10</f>
        <v>10</v>
      </c>
      <c r="C8" s="60">
        <f>10</f>
        <v>10</v>
      </c>
      <c r="E8" s="1" t="s">
        <v>398</v>
      </c>
    </row>
    <row r="9" spans="1:5" ht="25.5" customHeight="1" x14ac:dyDescent="0.35">
      <c r="A9" s="6" t="s">
        <v>399</v>
      </c>
      <c r="B9" s="60">
        <f>10</f>
        <v>10</v>
      </c>
      <c r="C9" s="60">
        <f>1</f>
        <v>1</v>
      </c>
      <c r="E9" s="1" t="s">
        <v>400</v>
      </c>
    </row>
    <row r="10" spans="1:5" x14ac:dyDescent="0.35">
      <c r="A10" s="6" t="s">
        <v>401</v>
      </c>
      <c r="B10" s="48">
        <f>0</f>
        <v>0</v>
      </c>
      <c r="C10" s="48">
        <f>Assumptions!$B$59</f>
        <v>0.05</v>
      </c>
      <c r="E10" s="1" t="s">
        <v>402</v>
      </c>
    </row>
    <row r="11" spans="1:5" x14ac:dyDescent="0.35">
      <c r="A11" s="6" t="s">
        <v>382</v>
      </c>
      <c r="B11" s="38">
        <f>$B$4*B8</f>
        <v>300</v>
      </c>
      <c r="C11" s="38">
        <f>$B$4*C8*(1-C10)</f>
        <v>285</v>
      </c>
      <c r="D11" s="42">
        <f t="shared" ref="D11:D18" si="0">C11-B11</f>
        <v>-15</v>
      </c>
      <c r="E11" s="1" t="s">
        <v>403</v>
      </c>
    </row>
    <row r="12" spans="1:5" x14ac:dyDescent="0.35">
      <c r="A12" s="6" t="s">
        <v>404</v>
      </c>
      <c r="B12" s="38">
        <f>-B11*Assumptions!$B$17</f>
        <v>-24</v>
      </c>
      <c r="C12" s="38">
        <f>-C11*Assumptions!$B$17</f>
        <v>-22.8</v>
      </c>
      <c r="D12" s="42">
        <f t="shared" si="0"/>
        <v>1.1999999999999993</v>
      </c>
      <c r="E12" s="1"/>
    </row>
    <row r="13" spans="1:5" ht="25.5" customHeight="1" x14ac:dyDescent="0.35">
      <c r="A13" s="6" t="s">
        <v>405</v>
      </c>
      <c r="B13" s="38">
        <f>-(B11*Assumptions!$C$25+Assumptions!$B$9*B9)</f>
        <v>-15.899999999999999</v>
      </c>
      <c r="C13" s="38">
        <f>-(C11*Assumptions!$C$25+Assumptions!$B$9*C9)</f>
        <v>-12.555</v>
      </c>
      <c r="D13" s="42">
        <f t="shared" si="0"/>
        <v>3.3449999999999989</v>
      </c>
      <c r="E13" s="1" t="s">
        <v>406</v>
      </c>
    </row>
    <row r="14" spans="1:5" x14ac:dyDescent="0.35">
      <c r="A14" s="7" t="s">
        <v>104</v>
      </c>
      <c r="B14" s="61">
        <f>SUM(B11:B13)</f>
        <v>260.10000000000002</v>
      </c>
      <c r="C14" s="61">
        <f>SUM(C11:C13)</f>
        <v>249.64499999999998</v>
      </c>
      <c r="D14" s="47">
        <f t="shared" si="0"/>
        <v>-10.455000000000041</v>
      </c>
      <c r="E14" s="1"/>
    </row>
    <row r="15" spans="1:5" x14ac:dyDescent="0.35">
      <c r="A15" s="7" t="s">
        <v>383</v>
      </c>
      <c r="B15" s="61">
        <f>B14*(1-$B$5)</f>
        <v>195.07500000000002</v>
      </c>
      <c r="C15" s="61">
        <f>C14*(1-$B$5)</f>
        <v>187.23374999999999</v>
      </c>
      <c r="D15" s="47">
        <f t="shared" si="0"/>
        <v>-7.8412500000000307</v>
      </c>
      <c r="E15" s="1" t="s">
        <v>407</v>
      </c>
    </row>
    <row r="16" spans="1:5" x14ac:dyDescent="0.35">
      <c r="A16" s="6" t="s">
        <v>408</v>
      </c>
      <c r="B16" s="38">
        <f>B14*$B$5</f>
        <v>65.025000000000006</v>
      </c>
      <c r="C16" s="38">
        <f>C14*$B$5</f>
        <v>62.411249999999995</v>
      </c>
      <c r="D16" s="42">
        <f t="shared" si="0"/>
        <v>-2.6137500000000102</v>
      </c>
      <c r="E16" s="1"/>
    </row>
    <row r="17" spans="1:5" x14ac:dyDescent="0.35">
      <c r="A17" s="6" t="s">
        <v>409</v>
      </c>
      <c r="B17" s="38">
        <f>-B11*Assumptions!$C$34</f>
        <v>-27</v>
      </c>
      <c r="C17" s="38">
        <f>-C11*Assumptions!$C$34</f>
        <v>-25.65</v>
      </c>
      <c r="D17" s="42">
        <f t="shared" si="0"/>
        <v>1.3500000000000014</v>
      </c>
      <c r="E17" s="1"/>
    </row>
    <row r="18" spans="1:5" x14ac:dyDescent="0.35">
      <c r="A18" s="7" t="s">
        <v>410</v>
      </c>
      <c r="B18" s="61">
        <f>B16+B17</f>
        <v>38.025000000000006</v>
      </c>
      <c r="C18" s="61">
        <f>C16+C17</f>
        <v>36.761249999999997</v>
      </c>
      <c r="D18" s="47">
        <f t="shared" si="0"/>
        <v>-1.2637500000000088</v>
      </c>
      <c r="E18" s="1" t="s">
        <v>411</v>
      </c>
    </row>
    <row r="20" spans="1:5" ht="15" customHeight="1" x14ac:dyDescent="0.35">
      <c r="A20" s="128" t="s">
        <v>412</v>
      </c>
      <c r="B20" s="128"/>
      <c r="C20" s="128"/>
      <c r="D20" s="128"/>
      <c r="E20" s="128"/>
    </row>
    <row r="21" spans="1:5" x14ac:dyDescent="0.35">
      <c r="A21" s="128"/>
      <c r="B21" s="128"/>
      <c r="C21" s="128"/>
      <c r="D21" s="128"/>
      <c r="E21" s="128"/>
    </row>
    <row r="23" spans="1:5" x14ac:dyDescent="0.35">
      <c r="A23" s="5" t="s">
        <v>413</v>
      </c>
    </row>
    <row r="24" spans="1:5" ht="30" customHeight="1" x14ac:dyDescent="0.35">
      <c r="A24" s="12" t="s">
        <v>217</v>
      </c>
      <c r="B24" s="12" t="s">
        <v>218</v>
      </c>
      <c r="C24" s="12"/>
      <c r="D24" s="12" t="s">
        <v>414</v>
      </c>
    </row>
    <row r="25" spans="1:5" ht="30" customHeight="1" x14ac:dyDescent="0.35">
      <c r="A25" s="62" t="s">
        <v>415</v>
      </c>
      <c r="B25" s="63" t="s">
        <v>416</v>
      </c>
      <c r="C25" s="64"/>
      <c r="D25" s="65" t="s">
        <v>417</v>
      </c>
    </row>
    <row r="26" spans="1:5" ht="30" customHeight="1" x14ac:dyDescent="0.35">
      <c r="A26" s="62" t="s">
        <v>418</v>
      </c>
      <c r="B26" s="66" t="str">
        <f>Assumptions!$B$104</f>
        <v>Amount paid less hours used at the full rate</v>
      </c>
      <c r="C26" s="64"/>
      <c r="D26" s="65" t="s">
        <v>419</v>
      </c>
    </row>
    <row r="27" spans="1:5" ht="30" customHeight="1" x14ac:dyDescent="0.35">
      <c r="A27" s="62" t="s">
        <v>420</v>
      </c>
      <c r="B27" s="63" t="s">
        <v>421</v>
      </c>
      <c r="C27" s="64"/>
      <c r="D27" s="65" t="s">
        <v>422</v>
      </c>
    </row>
    <row r="28" spans="1:5" x14ac:dyDescent="0.35">
      <c r="A28" s="9" t="s">
        <v>423</v>
      </c>
      <c r="B28" s="67" t="str">
        <f>Assumptions!$B$105</f>
        <v>All unused hours at the rate actually paid</v>
      </c>
      <c r="D28" t="s">
        <v>424</v>
      </c>
    </row>
    <row r="29" spans="1:5" ht="15" customHeight="1" x14ac:dyDescent="0.35">
      <c r="A29" s="127" t="s">
        <v>425</v>
      </c>
      <c r="B29" s="127"/>
      <c r="C29" s="127"/>
      <c r="D29" s="127"/>
      <c r="E29" s="127"/>
    </row>
    <row r="30" spans="1:5" ht="15" customHeight="1" x14ac:dyDescent="0.35">
      <c r="A30" s="127" t="s">
        <v>426</v>
      </c>
      <c r="B30" s="127"/>
      <c r="C30" s="127"/>
      <c r="D30" s="127"/>
      <c r="E30" s="127"/>
    </row>
    <row r="32" spans="1:5" x14ac:dyDescent="0.35">
      <c r="A32" s="8" t="s">
        <v>427</v>
      </c>
    </row>
    <row r="33" spans="1:5" x14ac:dyDescent="0.35">
      <c r="A33" t="s">
        <v>428</v>
      </c>
      <c r="B33" s="33">
        <f>$B$4*10*(1-Assumptions!$B$59)</f>
        <v>285</v>
      </c>
      <c r="E33" s="11" t="s">
        <v>429</v>
      </c>
    </row>
    <row r="34" spans="1:5" x14ac:dyDescent="0.35">
      <c r="A34" t="s">
        <v>430</v>
      </c>
      <c r="B34" s="33">
        <f>$B$33/10</f>
        <v>28.5</v>
      </c>
    </row>
    <row r="36" spans="1:5" ht="27.75" customHeight="1" x14ac:dyDescent="0.35">
      <c r="A36" s="28" t="s">
        <v>431</v>
      </c>
      <c r="B36" s="28" t="s">
        <v>432</v>
      </c>
      <c r="C36" s="28" t="s">
        <v>433</v>
      </c>
      <c r="D36" s="28" t="s">
        <v>434</v>
      </c>
      <c r="E36" s="28" t="s">
        <v>435</v>
      </c>
    </row>
    <row r="37" spans="1:5" x14ac:dyDescent="0.35">
      <c r="A37" s="68">
        <v>0</v>
      </c>
      <c r="B37" s="30">
        <f>(10-$A37)*$B$34</f>
        <v>285</v>
      </c>
      <c r="C37" s="33">
        <f>MAX(0,$B$33-$A37*$B$4)</f>
        <v>285</v>
      </c>
      <c r="D37" s="33">
        <f>(10-$A37)*$B$4</f>
        <v>300</v>
      </c>
      <c r="E37" s="69">
        <f>$B$33-$D37</f>
        <v>-15</v>
      </c>
    </row>
    <row r="38" spans="1:5" x14ac:dyDescent="0.35">
      <c r="A38" s="68">
        <v>1</v>
      </c>
      <c r="B38" s="30">
        <f>(10-$A38)*$B$34</f>
        <v>256.5</v>
      </c>
      <c r="C38" s="33">
        <f>MAX(0,$B$33-$A38*$B$4)</f>
        <v>255</v>
      </c>
      <c r="D38" s="33">
        <f>(10-$A38)*$B$4</f>
        <v>270</v>
      </c>
      <c r="E38" s="69">
        <f>$B$33-$D38</f>
        <v>15</v>
      </c>
    </row>
    <row r="39" spans="1:5" x14ac:dyDescent="0.35">
      <c r="A39" s="68">
        <v>4</v>
      </c>
      <c r="B39" s="30">
        <f>(10-$A39)*$B$34</f>
        <v>171</v>
      </c>
      <c r="C39" s="33">
        <f>MAX(0,$B$33-$A39*$B$4)</f>
        <v>165</v>
      </c>
      <c r="D39" s="33">
        <f>(10-$A39)*$B$4</f>
        <v>180</v>
      </c>
      <c r="E39" s="69">
        <f>$B$33-$D39</f>
        <v>105</v>
      </c>
    </row>
    <row r="40" spans="1:5" x14ac:dyDescent="0.35">
      <c r="A40" s="68">
        <v>9</v>
      </c>
      <c r="B40" s="30">
        <f>(10-$A40)*$B$34</f>
        <v>28.5</v>
      </c>
      <c r="C40" s="33">
        <f>MAX(0,$B$33-$A40*$B$4)</f>
        <v>15</v>
      </c>
      <c r="D40" s="33">
        <f>(10-$A40)*$B$4</f>
        <v>30</v>
      </c>
      <c r="E40" s="69">
        <f>$B$33-$D40</f>
        <v>255</v>
      </c>
    </row>
    <row r="41" spans="1:5" x14ac:dyDescent="0.35">
      <c r="A41" t="s">
        <v>436</v>
      </c>
      <c r="B41" s="33">
        <f>$B$33*Assumptions!$C$25+Assumptions!$B$9</f>
        <v>12.555</v>
      </c>
    </row>
    <row r="43" spans="1:5" x14ac:dyDescent="0.35">
      <c r="A43" s="11" t="s">
        <v>437</v>
      </c>
    </row>
    <row r="44" spans="1:5" x14ac:dyDescent="0.35">
      <c r="A44" s="11" t="s">
        <v>438</v>
      </c>
    </row>
    <row r="45" spans="1:5" x14ac:dyDescent="0.35">
      <c r="A45" s="11" t="s">
        <v>439</v>
      </c>
    </row>
    <row r="46" spans="1:5" x14ac:dyDescent="0.35">
      <c r="A46" s="11" t="s">
        <v>440</v>
      </c>
    </row>
    <row r="47" spans="1:5" x14ac:dyDescent="0.35">
      <c r="A47" s="11" t="s">
        <v>441</v>
      </c>
    </row>
    <row r="48" spans="1:5" x14ac:dyDescent="0.35">
      <c r="A48" s="11" t="s">
        <v>442</v>
      </c>
    </row>
    <row r="49" spans="1:1" x14ac:dyDescent="0.35">
      <c r="A49" s="11" t="s">
        <v>443</v>
      </c>
    </row>
    <row r="50" spans="1:1" x14ac:dyDescent="0.35">
      <c r="A50" s="11" t="s">
        <v>444</v>
      </c>
    </row>
    <row r="51" spans="1:1" x14ac:dyDescent="0.35">
      <c r="A51" s="11" t="s">
        <v>445</v>
      </c>
    </row>
    <row r="52" spans="1:1" x14ac:dyDescent="0.35">
      <c r="A52" s="11" t="s">
        <v>446</v>
      </c>
    </row>
  </sheetData>
  <mergeCells count="3">
    <mergeCell ref="A20:E21"/>
    <mergeCell ref="A29:E29"/>
    <mergeCell ref="A30:E3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F29"/>
  <sheetViews>
    <sheetView showGridLines="0" zoomScale="140" zoomScaleNormal="140" workbookViewId="0">
      <pane ySplit="3" topLeftCell="A4" activePane="bottomLeft" state="frozen"/>
      <selection pane="bottomLeft" activeCell="A15" sqref="A15"/>
    </sheetView>
  </sheetViews>
  <sheetFormatPr defaultColWidth="8.6328125" defaultRowHeight="14.5" x14ac:dyDescent="0.35"/>
  <cols>
    <col min="1" max="1" width="40" customWidth="1"/>
    <col min="2" max="5" width="15" customWidth="1"/>
    <col min="6" max="6" width="56" customWidth="1"/>
  </cols>
  <sheetData>
    <row r="1" spans="1:6" ht="18" customHeight="1" x14ac:dyDescent="0.4">
      <c r="A1" s="4" t="s">
        <v>447</v>
      </c>
    </row>
    <row r="2" spans="1:6" x14ac:dyDescent="0.35">
      <c r="A2" s="3" t="s">
        <v>448</v>
      </c>
    </row>
    <row r="4" spans="1:6" x14ac:dyDescent="0.35">
      <c r="A4" s="6" t="s">
        <v>449</v>
      </c>
      <c r="B4" s="52">
        <v>12</v>
      </c>
      <c r="F4" s="3" t="s">
        <v>450</v>
      </c>
    </row>
    <row r="5" spans="1:6" x14ac:dyDescent="0.35">
      <c r="A5" s="6" t="s">
        <v>451</v>
      </c>
      <c r="B5" s="70">
        <v>8</v>
      </c>
      <c r="F5" s="3" t="s">
        <v>452</v>
      </c>
    </row>
    <row r="6" spans="1:6" x14ac:dyDescent="0.35">
      <c r="A6" s="6" t="s">
        <v>453</v>
      </c>
      <c r="B6" s="70">
        <v>1</v>
      </c>
      <c r="F6" s="3" t="s">
        <v>454</v>
      </c>
    </row>
    <row r="8" spans="1:6" ht="30" customHeight="1" x14ac:dyDescent="0.35">
      <c r="A8" s="12" t="s">
        <v>455</v>
      </c>
      <c r="B8" s="12" t="s">
        <v>456</v>
      </c>
      <c r="C8" s="12" t="s">
        <v>104</v>
      </c>
      <c r="D8" s="12" t="s">
        <v>383</v>
      </c>
      <c r="E8" s="12" t="s">
        <v>384</v>
      </c>
      <c r="F8" s="12" t="s">
        <v>457</v>
      </c>
    </row>
    <row r="9" spans="1:6" x14ac:dyDescent="0.35">
      <c r="A9" s="71">
        <v>1</v>
      </c>
      <c r="B9" s="39">
        <f t="shared" ref="B9:B18" si="0">A9*$B$4*$B$5</f>
        <v>96</v>
      </c>
      <c r="C9" s="39">
        <f>B9-B9*Assumptions!$B$17-(B9*Assumptions!$C$25+Assumptions!$B$9*A9)</f>
        <v>83.891999999999996</v>
      </c>
      <c r="D9" s="39">
        <f>C9*(1-Assumptions!$B$60)</f>
        <v>65.435760000000002</v>
      </c>
      <c r="E9" s="21">
        <f>C9*Assumptions!$B$60-B9*Assumptions!$C$34</f>
        <v>9.816239999999997</v>
      </c>
      <c r="F9" s="38">
        <f t="shared" ref="F9:F18" si="1">D9/$B$5</f>
        <v>8.1794700000000002</v>
      </c>
    </row>
    <row r="10" spans="1:6" x14ac:dyDescent="0.35">
      <c r="A10" s="71">
        <v>2</v>
      </c>
      <c r="B10" s="39">
        <f t="shared" si="0"/>
        <v>192</v>
      </c>
      <c r="C10" s="39">
        <f>B10-B10*Assumptions!$B$17-(B10*Assumptions!$C$25+Assumptions!$B$9*A10)</f>
        <v>167.78399999999999</v>
      </c>
      <c r="D10" s="39">
        <f>C10*(1-Assumptions!$B$60)</f>
        <v>130.87152</v>
      </c>
      <c r="E10" s="21">
        <f>C10*Assumptions!$B$60-B10*Assumptions!$C$34</f>
        <v>19.632479999999994</v>
      </c>
      <c r="F10" s="38">
        <f t="shared" si="1"/>
        <v>16.35894</v>
      </c>
    </row>
    <row r="11" spans="1:6" x14ac:dyDescent="0.35">
      <c r="A11" s="71">
        <v>3</v>
      </c>
      <c r="B11" s="39">
        <f t="shared" si="0"/>
        <v>288</v>
      </c>
      <c r="C11" s="39">
        <f>B11-B11*Assumptions!$B$17-(B11*Assumptions!$C$25+Assumptions!$B$9*A11)</f>
        <v>251.67599999999999</v>
      </c>
      <c r="D11" s="39">
        <f>C11*(1-Assumptions!$B$60)</f>
        <v>196.30727999999999</v>
      </c>
      <c r="E11" s="21">
        <f>C11*Assumptions!$B$60-B11*Assumptions!$C$34</f>
        <v>29.448719999999998</v>
      </c>
      <c r="F11" s="38">
        <f t="shared" si="1"/>
        <v>24.538409999999999</v>
      </c>
    </row>
    <row r="12" spans="1:6" x14ac:dyDescent="0.35">
      <c r="A12" s="71">
        <v>4</v>
      </c>
      <c r="B12" s="39">
        <f t="shared" si="0"/>
        <v>384</v>
      </c>
      <c r="C12" s="39">
        <f>B12-B12*Assumptions!$B$17-(B12*Assumptions!$C$25+Assumptions!$B$9*A12)</f>
        <v>335.56799999999998</v>
      </c>
      <c r="D12" s="39">
        <f>C12*(1-Assumptions!$B$60)</f>
        <v>261.74304000000001</v>
      </c>
      <c r="E12" s="21">
        <f>C12*Assumptions!$B$60-B12*Assumptions!$C$34</f>
        <v>39.264959999999988</v>
      </c>
      <c r="F12" s="38">
        <f t="shared" si="1"/>
        <v>32.717880000000001</v>
      </c>
    </row>
    <row r="13" spans="1:6" x14ac:dyDescent="0.35">
      <c r="A13" s="71">
        <v>6</v>
      </c>
      <c r="B13" s="39">
        <f t="shared" si="0"/>
        <v>576</v>
      </c>
      <c r="C13" s="39">
        <f>B13-B13*Assumptions!$B$17-(B13*Assumptions!$C$25+Assumptions!$B$9*A13)</f>
        <v>503.35199999999998</v>
      </c>
      <c r="D13" s="39">
        <f>C13*(1-Assumptions!$B$60)</f>
        <v>392.61455999999998</v>
      </c>
      <c r="E13" s="21">
        <f>C13*Assumptions!$B$60-B13*Assumptions!$C$34</f>
        <v>58.897439999999996</v>
      </c>
      <c r="F13" s="38">
        <f t="shared" si="1"/>
        <v>49.076819999999998</v>
      </c>
    </row>
    <row r="14" spans="1:6" x14ac:dyDescent="0.35">
      <c r="A14" s="71">
        <v>8</v>
      </c>
      <c r="B14" s="39">
        <f t="shared" si="0"/>
        <v>768</v>
      </c>
      <c r="C14" s="39">
        <f>B14-B14*Assumptions!$B$17-(B14*Assumptions!$C$25+Assumptions!$B$9*A14)</f>
        <v>671.13599999999997</v>
      </c>
      <c r="D14" s="39">
        <f>C14*(1-Assumptions!$B$60)</f>
        <v>523.48608000000002</v>
      </c>
      <c r="E14" s="21">
        <f>C14*Assumptions!$B$60-B14*Assumptions!$C$34</f>
        <v>78.529919999999976</v>
      </c>
      <c r="F14" s="38">
        <f t="shared" si="1"/>
        <v>65.435760000000002</v>
      </c>
    </row>
    <row r="15" spans="1:6" x14ac:dyDescent="0.35">
      <c r="A15" s="71">
        <v>10</v>
      </c>
      <c r="B15" s="39">
        <f t="shared" si="0"/>
        <v>960</v>
      </c>
      <c r="C15" s="39">
        <f>B15-B15*Assumptions!$B$17-(B15*Assumptions!$C$25+Assumptions!$B$9*A15)</f>
        <v>838.92000000000007</v>
      </c>
      <c r="D15" s="39">
        <f>C15*(1-Assumptions!$B$60)</f>
        <v>654.35760000000005</v>
      </c>
      <c r="E15" s="21">
        <f>C15*Assumptions!$B$60-B15*Assumptions!$C$34</f>
        <v>98.162400000000034</v>
      </c>
      <c r="F15" s="38">
        <f t="shared" si="1"/>
        <v>81.794700000000006</v>
      </c>
    </row>
    <row r="16" spans="1:6" x14ac:dyDescent="0.35">
      <c r="A16" s="71">
        <v>12</v>
      </c>
      <c r="B16" s="39">
        <f t="shared" si="0"/>
        <v>1152</v>
      </c>
      <c r="C16" s="39">
        <f>B16-B16*Assumptions!$B$17-(B16*Assumptions!$C$25+Assumptions!$B$9*A16)</f>
        <v>1006.704</v>
      </c>
      <c r="D16" s="39">
        <f>C16*(1-Assumptions!$B$60)</f>
        <v>785.22911999999997</v>
      </c>
      <c r="E16" s="21">
        <f>C16*Assumptions!$B$60-B16*Assumptions!$C$34</f>
        <v>117.79487999999999</v>
      </c>
      <c r="F16" s="38">
        <f t="shared" si="1"/>
        <v>98.153639999999996</v>
      </c>
    </row>
    <row r="17" spans="1:6" x14ac:dyDescent="0.35">
      <c r="A17" s="71">
        <v>15</v>
      </c>
      <c r="B17" s="39">
        <f t="shared" si="0"/>
        <v>1440</v>
      </c>
      <c r="C17" s="39">
        <f>B17-B17*Assumptions!$B$17-(B17*Assumptions!$C$25+Assumptions!$B$9*A17)</f>
        <v>1258.3799999999999</v>
      </c>
      <c r="D17" s="39">
        <f>C17*(1-Assumptions!$B$60)</f>
        <v>981.53639999999996</v>
      </c>
      <c r="E17" s="21">
        <f>C17*Assumptions!$B$60-B17*Assumptions!$C$34</f>
        <v>147.24359999999999</v>
      </c>
      <c r="F17" s="38">
        <f t="shared" si="1"/>
        <v>122.69204999999999</v>
      </c>
    </row>
    <row r="18" spans="1:6" x14ac:dyDescent="0.35">
      <c r="A18" s="71">
        <v>20</v>
      </c>
      <c r="B18" s="39">
        <f t="shared" si="0"/>
        <v>1920</v>
      </c>
      <c r="C18" s="39">
        <f>B18-B18*Assumptions!$B$17-(B18*Assumptions!$C$25+Assumptions!$B$9*A18)</f>
        <v>1677.8400000000001</v>
      </c>
      <c r="D18" s="39">
        <f>C18*(1-Assumptions!$B$60)</f>
        <v>1308.7152000000001</v>
      </c>
      <c r="E18" s="21">
        <f>C18*Assumptions!$B$60-B18*Assumptions!$C$34</f>
        <v>196.32480000000007</v>
      </c>
      <c r="F18" s="38">
        <f t="shared" si="1"/>
        <v>163.58940000000001</v>
      </c>
    </row>
    <row r="20" spans="1:6" x14ac:dyDescent="0.35">
      <c r="A20" s="72" t="s">
        <v>458</v>
      </c>
      <c r="B20" s="73"/>
      <c r="C20" s="73"/>
      <c r="D20" s="73"/>
      <c r="E20" s="73"/>
      <c r="F20" s="73"/>
    </row>
    <row r="21" spans="1:6" ht="15" customHeight="1" x14ac:dyDescent="0.35">
      <c r="A21" s="127" t="s">
        <v>459</v>
      </c>
      <c r="B21" s="127"/>
      <c r="C21" s="127"/>
      <c r="D21" s="127"/>
      <c r="E21" s="127"/>
      <c r="F21" s="127"/>
    </row>
    <row r="22" spans="1:6" ht="15" customHeight="1" x14ac:dyDescent="0.35">
      <c r="A22" s="127" t="s">
        <v>460</v>
      </c>
      <c r="B22" s="127"/>
      <c r="C22" s="127"/>
      <c r="D22" s="127"/>
      <c r="E22" s="127"/>
      <c r="F22" s="127"/>
    </row>
    <row r="23" spans="1:6" ht="15" customHeight="1" x14ac:dyDescent="0.35">
      <c r="A23" s="127" t="s">
        <v>461</v>
      </c>
      <c r="B23" s="127"/>
      <c r="C23" s="127"/>
      <c r="D23" s="127"/>
      <c r="E23" s="127"/>
      <c r="F23" s="127"/>
    </row>
    <row r="24" spans="1:6" ht="15" customHeight="1" x14ac:dyDescent="0.35">
      <c r="A24" s="127" t="s">
        <v>462</v>
      </c>
      <c r="B24" s="127"/>
      <c r="C24" s="127"/>
      <c r="D24" s="127"/>
      <c r="E24" s="127"/>
      <c r="F24" s="127"/>
    </row>
    <row r="26" spans="1:6" x14ac:dyDescent="0.35">
      <c r="A26" s="7" t="s">
        <v>463</v>
      </c>
    </row>
    <row r="27" spans="1:6" ht="15" customHeight="1" x14ac:dyDescent="0.35">
      <c r="A27" s="127" t="s">
        <v>464</v>
      </c>
      <c r="B27" s="127"/>
      <c r="C27" s="127"/>
      <c r="D27" s="127"/>
      <c r="E27" s="127"/>
      <c r="F27" s="127"/>
    </row>
    <row r="28" spans="1:6" ht="15" customHeight="1" x14ac:dyDescent="0.35">
      <c r="A28" s="127" t="s">
        <v>465</v>
      </c>
      <c r="B28" s="127"/>
      <c r="C28" s="127"/>
      <c r="D28" s="127"/>
      <c r="E28" s="127"/>
      <c r="F28" s="127"/>
    </row>
    <row r="29" spans="1:6" ht="15" customHeight="1" x14ac:dyDescent="0.35">
      <c r="A29" s="127" t="s">
        <v>466</v>
      </c>
      <c r="B29" s="127"/>
      <c r="C29" s="127"/>
      <c r="D29" s="127"/>
      <c r="E29" s="127"/>
      <c r="F29" s="127"/>
    </row>
  </sheetData>
  <mergeCells count="7">
    <mergeCell ref="A28:F28"/>
    <mergeCell ref="A29:F29"/>
    <mergeCell ref="A21:F21"/>
    <mergeCell ref="A22:F22"/>
    <mergeCell ref="A23:F23"/>
    <mergeCell ref="A24:F24"/>
    <mergeCell ref="A27:F27"/>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G20"/>
  <sheetViews>
    <sheetView showGridLines="0" zoomScaleNormal="100" workbookViewId="0">
      <pane ySplit="3" topLeftCell="A4" activePane="bottomLeft" state="frozen"/>
      <selection pane="bottomLeft"/>
    </sheetView>
  </sheetViews>
  <sheetFormatPr defaultColWidth="8.6328125" defaultRowHeight="14.5" x14ac:dyDescent="0.35"/>
  <cols>
    <col min="1" max="1" width="40" customWidth="1"/>
    <col min="2" max="6" width="13" customWidth="1"/>
    <col min="7" max="7" width="56" customWidth="1"/>
  </cols>
  <sheetData>
    <row r="1" spans="1:7" ht="18" customHeight="1" x14ac:dyDescent="0.4">
      <c r="A1" s="4" t="s">
        <v>467</v>
      </c>
    </row>
    <row r="2" spans="1:7" x14ac:dyDescent="0.35">
      <c r="A2" s="3" t="s">
        <v>468</v>
      </c>
    </row>
    <row r="4" spans="1:7" x14ac:dyDescent="0.35">
      <c r="A4" s="6" t="s">
        <v>469</v>
      </c>
      <c r="B4" s="74">
        <f>'Price List'!B6</f>
        <v>79</v>
      </c>
    </row>
    <row r="5" spans="1:7" x14ac:dyDescent="0.35">
      <c r="A5" s="7" t="s">
        <v>104</v>
      </c>
      <c r="B5" s="47">
        <f>B4-B4*Assumptions!$B$17-(B4*Assumptions!$B$25+Assumptions!$B$9)</f>
        <v>68.667000000000002</v>
      </c>
    </row>
    <row r="7" spans="1:7" ht="30" customHeight="1" x14ac:dyDescent="0.35">
      <c r="A7" s="12" t="s">
        <v>470</v>
      </c>
      <c r="B7" s="12" t="s">
        <v>471</v>
      </c>
      <c r="C7" s="12" t="s">
        <v>472</v>
      </c>
      <c r="D7" s="12" t="s">
        <v>473</v>
      </c>
      <c r="E7" s="12" t="s">
        <v>474</v>
      </c>
      <c r="F7" s="12" t="s">
        <v>475</v>
      </c>
      <c r="G7" s="12" t="s">
        <v>84</v>
      </c>
    </row>
    <row r="8" spans="1:7" ht="30" customHeight="1" x14ac:dyDescent="0.35">
      <c r="A8" s="75" t="s">
        <v>476</v>
      </c>
      <c r="B8" s="76">
        <f>Assumptions!$B$61</f>
        <v>0.18</v>
      </c>
      <c r="C8" s="77">
        <f>1-B8</f>
        <v>0.82000000000000006</v>
      </c>
      <c r="D8" s="78">
        <f>$B$5*C8</f>
        <v>56.306940000000004</v>
      </c>
      <c r="E8" s="79">
        <f>$B$5*B8</f>
        <v>12.360060000000001</v>
      </c>
      <c r="F8" s="47">
        <f>E8-$B$4*Assumptions!$B$34</f>
        <v>4.0650600000000008</v>
      </c>
      <c r="G8" s="80" t="s">
        <v>477</v>
      </c>
    </row>
    <row r="9" spans="1:7" ht="30" customHeight="1" x14ac:dyDescent="0.35">
      <c r="A9" s="6" t="s">
        <v>478</v>
      </c>
      <c r="B9" s="18">
        <f>Assumptions!$B$62</f>
        <v>0.5</v>
      </c>
      <c r="C9" s="48">
        <f>1-B9</f>
        <v>0.5</v>
      </c>
      <c r="D9" s="42">
        <f>$B$5*C9</f>
        <v>34.333500000000001</v>
      </c>
      <c r="E9" s="38">
        <f>$B$5*B9</f>
        <v>34.333500000000001</v>
      </c>
      <c r="F9" s="47">
        <f>E9-$B$4*Assumptions!$B$34</f>
        <v>26.038499999999999</v>
      </c>
      <c r="G9" s="1" t="s">
        <v>479</v>
      </c>
    </row>
    <row r="10" spans="1:7" ht="30" customHeight="1" x14ac:dyDescent="0.35">
      <c r="A10" s="75" t="s">
        <v>480</v>
      </c>
      <c r="B10" s="76">
        <f>Assumptions!$B$63</f>
        <v>0.7</v>
      </c>
      <c r="C10" s="77">
        <f>1-B10</f>
        <v>0.30000000000000004</v>
      </c>
      <c r="D10" s="78">
        <f>$B$5*C10</f>
        <v>20.600100000000005</v>
      </c>
      <c r="E10" s="79">
        <f>$B$5*B10</f>
        <v>48.066899999999997</v>
      </c>
      <c r="F10" s="47">
        <f>E10-$B$4*Assumptions!$B$34</f>
        <v>39.771899999999995</v>
      </c>
      <c r="G10" s="81" t="s">
        <v>481</v>
      </c>
    </row>
    <row r="11" spans="1:7" ht="30" customHeight="1" x14ac:dyDescent="0.35">
      <c r="A11" s="6" t="s">
        <v>482</v>
      </c>
      <c r="B11" s="18">
        <f>Assumptions!$B$64</f>
        <v>0.6</v>
      </c>
      <c r="C11" s="48">
        <f>1-B11</f>
        <v>0.4</v>
      </c>
      <c r="D11" s="42">
        <f>$B$5*C11</f>
        <v>27.466800000000003</v>
      </c>
      <c r="E11" s="38">
        <f>$B$5*B11</f>
        <v>41.200200000000002</v>
      </c>
      <c r="F11" s="47">
        <f>E11-$B$4*Assumptions!$B$34</f>
        <v>32.905200000000001</v>
      </c>
      <c r="G11" s="1" t="s">
        <v>483</v>
      </c>
    </row>
    <row r="14" spans="1:7" x14ac:dyDescent="0.35">
      <c r="A14" s="5" t="s">
        <v>484</v>
      </c>
    </row>
    <row r="15" spans="1:7" ht="15" customHeight="1" x14ac:dyDescent="0.35">
      <c r="A15" s="127" t="s">
        <v>485</v>
      </c>
      <c r="B15" s="127"/>
      <c r="C15" s="127"/>
      <c r="D15" s="127"/>
      <c r="E15" s="127"/>
      <c r="F15" s="127"/>
      <c r="G15" s="127"/>
    </row>
    <row r="16" spans="1:7" ht="15" customHeight="1" x14ac:dyDescent="0.35">
      <c r="A16" s="127" t="s">
        <v>486</v>
      </c>
      <c r="B16" s="127"/>
      <c r="C16" s="127"/>
      <c r="D16" s="127"/>
      <c r="E16" s="127"/>
      <c r="F16" s="127"/>
      <c r="G16" s="127"/>
    </row>
    <row r="17" spans="1:7" ht="15" customHeight="1" x14ac:dyDescent="0.35">
      <c r="A17" s="127" t="s">
        <v>487</v>
      </c>
      <c r="B17" s="127"/>
      <c r="C17" s="127"/>
      <c r="D17" s="127"/>
      <c r="E17" s="127"/>
      <c r="F17" s="127"/>
      <c r="G17" s="127"/>
    </row>
    <row r="18" spans="1:7" ht="15" customHeight="1" x14ac:dyDescent="0.35">
      <c r="A18" s="127" t="s">
        <v>488</v>
      </c>
      <c r="B18" s="127"/>
      <c r="C18" s="127"/>
      <c r="D18" s="127"/>
      <c r="E18" s="127"/>
      <c r="F18" s="127"/>
      <c r="G18" s="127"/>
    </row>
    <row r="19" spans="1:7" ht="15" customHeight="1" x14ac:dyDescent="0.35">
      <c r="A19" s="127" t="s">
        <v>489</v>
      </c>
      <c r="B19" s="127"/>
      <c r="C19" s="127"/>
      <c r="D19" s="127"/>
      <c r="E19" s="127"/>
      <c r="F19" s="127"/>
      <c r="G19" s="127"/>
    </row>
    <row r="20" spans="1:7" ht="15" customHeight="1" x14ac:dyDescent="0.35">
      <c r="A20" s="127" t="s">
        <v>490</v>
      </c>
      <c r="B20" s="127"/>
      <c r="C20" s="127"/>
      <c r="D20" s="127"/>
      <c r="E20" s="127"/>
      <c r="F20" s="127"/>
      <c r="G20" s="127"/>
    </row>
  </sheetData>
  <mergeCells count="6">
    <mergeCell ref="A20:G20"/>
    <mergeCell ref="A15:G15"/>
    <mergeCell ref="A16:G16"/>
    <mergeCell ref="A17:G17"/>
    <mergeCell ref="A18:G18"/>
    <mergeCell ref="A19:G19"/>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E59"/>
  <sheetViews>
    <sheetView showGridLines="0" zoomScaleNormal="100" workbookViewId="0">
      <pane ySplit="3" topLeftCell="A4" activePane="bottomLeft" state="frozen"/>
      <selection pane="bottomLeft"/>
    </sheetView>
  </sheetViews>
  <sheetFormatPr defaultColWidth="8.6328125" defaultRowHeight="14.5" x14ac:dyDescent="0.35"/>
  <cols>
    <col min="1" max="1" width="44" customWidth="1"/>
    <col min="2" max="4" width="16" customWidth="1"/>
    <col min="5" max="5" width="56" customWidth="1"/>
  </cols>
  <sheetData>
    <row r="1" spans="1:5" ht="18" customHeight="1" x14ac:dyDescent="0.4">
      <c r="A1" s="4" t="s">
        <v>48</v>
      </c>
    </row>
    <row r="2" spans="1:5" x14ac:dyDescent="0.35">
      <c r="A2" s="3" t="s">
        <v>491</v>
      </c>
    </row>
    <row r="4" spans="1:5" x14ac:dyDescent="0.35">
      <c r="A4" s="6" t="s">
        <v>492</v>
      </c>
      <c r="B4" s="70">
        <v>900</v>
      </c>
    </row>
    <row r="5" spans="1:5" x14ac:dyDescent="0.35">
      <c r="A5" s="6" t="s">
        <v>493</v>
      </c>
      <c r="B5" s="70">
        <v>600</v>
      </c>
    </row>
    <row r="6" spans="1:5" x14ac:dyDescent="0.35">
      <c r="A6" s="6" t="s">
        <v>494</v>
      </c>
      <c r="B6" s="74">
        <f>'Price List'!B12</f>
        <v>19</v>
      </c>
    </row>
    <row r="7" spans="1:5" x14ac:dyDescent="0.35">
      <c r="A7" s="6" t="s">
        <v>495</v>
      </c>
      <c r="B7" s="74">
        <f>'Price List'!B13</f>
        <v>180</v>
      </c>
    </row>
    <row r="9" spans="1:5" ht="30" customHeight="1" x14ac:dyDescent="0.35">
      <c r="A9" s="12" t="s">
        <v>496</v>
      </c>
      <c r="B9" s="12" t="s">
        <v>497</v>
      </c>
      <c r="C9" s="12"/>
      <c r="D9" s="12"/>
      <c r="E9" s="12" t="s">
        <v>84</v>
      </c>
    </row>
    <row r="10" spans="1:5" x14ac:dyDescent="0.35">
      <c r="A10" s="6" t="s">
        <v>498</v>
      </c>
      <c r="B10" s="39">
        <f>B4*B6+B5*B7/12</f>
        <v>26100</v>
      </c>
    </row>
    <row r="11" spans="1:5" x14ac:dyDescent="0.35">
      <c r="A11" s="6" t="s">
        <v>404</v>
      </c>
      <c r="B11" s="74">
        <f>-B10*Assumptions!$B$17</f>
        <v>-2088</v>
      </c>
    </row>
    <row r="12" spans="1:5" x14ac:dyDescent="0.35">
      <c r="A12" s="6" t="s">
        <v>405</v>
      </c>
      <c r="B12" s="82">
        <f>-(B10*Assumptions!$B$25+(B4/Assumptions!$B$73+B5/12)*Assumptions!$B$9)</f>
        <v>-1286.6999999999998</v>
      </c>
      <c r="E12" s="3" t="s">
        <v>499</v>
      </c>
    </row>
    <row r="13" spans="1:5" x14ac:dyDescent="0.35">
      <c r="A13" s="7" t="s">
        <v>500</v>
      </c>
      <c r="B13" s="21">
        <f>SUM(B10:B12)</f>
        <v>22725.3</v>
      </c>
    </row>
    <row r="14" spans="1:5" x14ac:dyDescent="0.35">
      <c r="A14" s="6" t="s">
        <v>501</v>
      </c>
      <c r="B14" s="74">
        <f>-B10*Assumptions!$B$34</f>
        <v>-2740.5</v>
      </c>
    </row>
    <row r="15" spans="1:5" x14ac:dyDescent="0.35">
      <c r="A15" s="7" t="s">
        <v>502</v>
      </c>
      <c r="B15" s="21">
        <f>B13*Assumptions!$B$65</f>
        <v>11362.65</v>
      </c>
      <c r="E15" s="3" t="s">
        <v>503</v>
      </c>
    </row>
    <row r="16" spans="1:5" x14ac:dyDescent="0.35">
      <c r="A16" s="7" t="s">
        <v>504</v>
      </c>
      <c r="B16" s="46">
        <f>B13-B15+B14</f>
        <v>8622.15</v>
      </c>
    </row>
    <row r="18" spans="1:5" x14ac:dyDescent="0.35">
      <c r="A18" s="5" t="s">
        <v>505</v>
      </c>
    </row>
    <row r="19" spans="1:5" ht="30" customHeight="1" x14ac:dyDescent="0.35">
      <c r="A19" s="12" t="s">
        <v>506</v>
      </c>
      <c r="B19" s="12" t="s">
        <v>507</v>
      </c>
      <c r="C19" s="12" t="s">
        <v>508</v>
      </c>
      <c r="D19" s="12" t="s">
        <v>509</v>
      </c>
      <c r="E19" s="12" t="s">
        <v>84</v>
      </c>
    </row>
    <row r="20" spans="1:5" x14ac:dyDescent="0.35">
      <c r="A20" s="6" t="s">
        <v>510</v>
      </c>
      <c r="B20" s="71">
        <v>420000</v>
      </c>
      <c r="C20" s="48">
        <f>IF($B$24=0,0,B20/$B$24)</f>
        <v>0.35</v>
      </c>
      <c r="D20" s="21">
        <f>$B$15*C20</f>
        <v>3976.9274999999998</v>
      </c>
    </row>
    <row r="21" spans="1:5" x14ac:dyDescent="0.35">
      <c r="A21" s="6" t="s">
        <v>511</v>
      </c>
      <c r="B21" s="71">
        <v>260000</v>
      </c>
      <c r="C21" s="48">
        <f>IF($B$24=0,0,B21/$B$24)</f>
        <v>0.21666666666666667</v>
      </c>
      <c r="D21" s="21">
        <f>$B$15*C21</f>
        <v>2461.9074999999998</v>
      </c>
    </row>
    <row r="22" spans="1:5" x14ac:dyDescent="0.35">
      <c r="A22" s="6" t="s">
        <v>512</v>
      </c>
      <c r="B22" s="71">
        <v>180000</v>
      </c>
      <c r="C22" s="48">
        <f>IF($B$24=0,0,B22/$B$24)</f>
        <v>0.15</v>
      </c>
      <c r="D22" s="21">
        <f>$B$15*C22</f>
        <v>1704.3974999999998</v>
      </c>
    </row>
    <row r="23" spans="1:5" x14ac:dyDescent="0.35">
      <c r="A23" s="6" t="s">
        <v>513</v>
      </c>
      <c r="B23" s="71">
        <v>340000</v>
      </c>
      <c r="C23" s="48">
        <f>IF($B$24=0,0,B23/$B$24)</f>
        <v>0.28333333333333333</v>
      </c>
      <c r="D23" s="21">
        <f>$B$15*C23</f>
        <v>3219.4175</v>
      </c>
    </row>
    <row r="24" spans="1:5" x14ac:dyDescent="0.35">
      <c r="A24" s="7" t="s">
        <v>514</v>
      </c>
      <c r="B24" s="83">
        <f>SUM(B20:B23)</f>
        <v>1200000</v>
      </c>
      <c r="D24" s="46">
        <f>SUM(D20:D23)</f>
        <v>11362.65</v>
      </c>
    </row>
    <row r="26" spans="1:5" x14ac:dyDescent="0.35">
      <c r="A26" s="7" t="s">
        <v>515</v>
      </c>
      <c r="B26" s="47">
        <f>IF($B$24=0,0,$B$15/$B$24*1000)</f>
        <v>9.4688750000000006</v>
      </c>
      <c r="E26" s="3" t="s">
        <v>516</v>
      </c>
    </row>
    <row r="28" spans="1:5" x14ac:dyDescent="0.35">
      <c r="A28" s="5" t="s">
        <v>517</v>
      </c>
    </row>
    <row r="29" spans="1:5" ht="15" customHeight="1" x14ac:dyDescent="0.35">
      <c r="A29" s="127" t="s">
        <v>518</v>
      </c>
      <c r="B29" s="127"/>
      <c r="C29" s="127"/>
      <c r="D29" s="127"/>
      <c r="E29" s="127"/>
    </row>
    <row r="30" spans="1:5" ht="15" customHeight="1" x14ac:dyDescent="0.35">
      <c r="A30" s="127" t="s">
        <v>519</v>
      </c>
      <c r="B30" s="127"/>
      <c r="C30" s="127"/>
      <c r="D30" s="127"/>
      <c r="E30" s="127"/>
    </row>
    <row r="31" spans="1:5" ht="15" customHeight="1" x14ac:dyDescent="0.35">
      <c r="A31" s="127" t="s">
        <v>520</v>
      </c>
      <c r="B31" s="127"/>
      <c r="C31" s="127"/>
      <c r="D31" s="127"/>
      <c r="E31" s="127"/>
    </row>
    <row r="32" spans="1:5" ht="15" customHeight="1" x14ac:dyDescent="0.35">
      <c r="A32" s="127" t="s">
        <v>521</v>
      </c>
      <c r="B32" s="127"/>
      <c r="C32" s="127"/>
      <c r="D32" s="127"/>
      <c r="E32" s="127"/>
    </row>
    <row r="33" spans="1:5" ht="15" customHeight="1" x14ac:dyDescent="0.35">
      <c r="A33" s="127" t="s">
        <v>522</v>
      </c>
      <c r="B33" s="127"/>
      <c r="C33" s="127"/>
      <c r="D33" s="127"/>
      <c r="E33" s="127"/>
    </row>
    <row r="34" spans="1:5" ht="15" customHeight="1" x14ac:dyDescent="0.35">
      <c r="A34" s="127" t="s">
        <v>523</v>
      </c>
      <c r="B34" s="127"/>
      <c r="C34" s="127"/>
      <c r="D34" s="127"/>
      <c r="E34" s="127"/>
    </row>
    <row r="36" spans="1:5" x14ac:dyDescent="0.35">
      <c r="A36" s="8" t="s">
        <v>524</v>
      </c>
    </row>
    <row r="37" spans="1:5" ht="27.75" customHeight="1" x14ac:dyDescent="0.35">
      <c r="A37" s="28" t="s">
        <v>525</v>
      </c>
      <c r="B37" s="28" t="s">
        <v>526</v>
      </c>
      <c r="C37" s="28" t="s">
        <v>527</v>
      </c>
      <c r="D37" s="28" t="s">
        <v>528</v>
      </c>
      <c r="E37" s="28"/>
    </row>
    <row r="38" spans="1:5" x14ac:dyDescent="0.35">
      <c r="A38" t="s">
        <v>529</v>
      </c>
      <c r="B38" s="33">
        <f>'Price List'!$B$12*1</f>
        <v>19</v>
      </c>
      <c r="C38" s="84">
        <f>B38/'Price List'!$B$6</f>
        <v>0.24050632911392406</v>
      </c>
      <c r="E38" s="11" t="s">
        <v>530</v>
      </c>
    </row>
    <row r="39" spans="1:5" x14ac:dyDescent="0.35">
      <c r="A39" t="s">
        <v>531</v>
      </c>
      <c r="B39" s="33">
        <f>'Price List'!$B$12*3</f>
        <v>57</v>
      </c>
      <c r="C39" s="84">
        <f>B39/'Price List'!$B$6</f>
        <v>0.72151898734177211</v>
      </c>
      <c r="E39" s="11" t="s">
        <v>532</v>
      </c>
    </row>
    <row r="40" spans="1:5" x14ac:dyDescent="0.35">
      <c r="A40" s="9" t="s">
        <v>533</v>
      </c>
      <c r="B40" s="30">
        <f>'Price List'!$B$12*Assumptions!$B$73</f>
        <v>114</v>
      </c>
      <c r="C40" s="84">
        <f>B40/'Price List'!$B$6</f>
        <v>1.4430379746835442</v>
      </c>
      <c r="E40" s="11" t="s">
        <v>534</v>
      </c>
    </row>
    <row r="41" spans="1:5" x14ac:dyDescent="0.35">
      <c r="A41" t="s">
        <v>535</v>
      </c>
      <c r="B41" s="33">
        <f>'Price List'!$B$13</f>
        <v>180</v>
      </c>
      <c r="C41" s="84">
        <f>B41/'Price List'!$B$6</f>
        <v>2.278481012658228</v>
      </c>
      <c r="E41" s="11" t="s">
        <v>536</v>
      </c>
    </row>
    <row r="43" spans="1:5" x14ac:dyDescent="0.35">
      <c r="A43" s="11" t="s">
        <v>537</v>
      </c>
    </row>
    <row r="45" spans="1:5" x14ac:dyDescent="0.35">
      <c r="A45" s="8" t="s">
        <v>538</v>
      </c>
    </row>
    <row r="46" spans="1:5" ht="27.75" customHeight="1" x14ac:dyDescent="0.35">
      <c r="A46" s="28" t="s">
        <v>496</v>
      </c>
      <c r="B46" s="28" t="s">
        <v>539</v>
      </c>
      <c r="C46" s="28" t="s">
        <v>540</v>
      </c>
      <c r="D46" s="28" t="s">
        <v>396</v>
      </c>
      <c r="E46" s="28"/>
    </row>
    <row r="47" spans="1:5" x14ac:dyDescent="0.35">
      <c r="A47" t="s">
        <v>541</v>
      </c>
      <c r="B47" s="85">
        <f>12</f>
        <v>12</v>
      </c>
      <c r="C47" s="85">
        <f>12/Assumptions!$B$73</f>
        <v>2</v>
      </c>
      <c r="D47" s="85">
        <f>C47-B47</f>
        <v>-10</v>
      </c>
    </row>
    <row r="48" spans="1:5" x14ac:dyDescent="0.35">
      <c r="A48" t="s">
        <v>542</v>
      </c>
      <c r="B48" s="33">
        <f>B47*Assumptions!$B$9</f>
        <v>3.5999999999999996</v>
      </c>
      <c r="C48" s="33">
        <f>C47*Assumptions!$B$9</f>
        <v>0.6</v>
      </c>
      <c r="D48" s="33">
        <f>C48-B48</f>
        <v>-2.9999999999999996</v>
      </c>
      <c r="E48" s="11" t="s">
        <v>543</v>
      </c>
    </row>
    <row r="49" spans="1:5" x14ac:dyDescent="0.35">
      <c r="A49" t="s">
        <v>544</v>
      </c>
      <c r="B49" s="33">
        <f>B48*$B$4</f>
        <v>3239.9999999999995</v>
      </c>
      <c r="C49" s="33">
        <f>C48*$B$4</f>
        <v>540</v>
      </c>
      <c r="D49" s="33">
        <f>C49-B49</f>
        <v>-2699.9999999999995</v>
      </c>
      <c r="E49" s="11" t="s">
        <v>545</v>
      </c>
    </row>
    <row r="51" spans="1:5" x14ac:dyDescent="0.35">
      <c r="A51" s="8" t="s">
        <v>546</v>
      </c>
    </row>
    <row r="52" spans="1:5" x14ac:dyDescent="0.35">
      <c r="A52" s="11" t="s">
        <v>547</v>
      </c>
    </row>
    <row r="53" spans="1:5" x14ac:dyDescent="0.35">
      <c r="A53" s="11" t="s">
        <v>548</v>
      </c>
    </row>
    <row r="54" spans="1:5" x14ac:dyDescent="0.35">
      <c r="A54" s="11" t="s">
        <v>549</v>
      </c>
    </row>
    <row r="55" spans="1:5" x14ac:dyDescent="0.35">
      <c r="A55" s="11" t="s">
        <v>550</v>
      </c>
    </row>
    <row r="56" spans="1:5" x14ac:dyDescent="0.35">
      <c r="A56" s="11" t="s">
        <v>551</v>
      </c>
    </row>
    <row r="57" spans="1:5" x14ac:dyDescent="0.35">
      <c r="A57" s="11" t="s">
        <v>552</v>
      </c>
    </row>
    <row r="58" spans="1:5" x14ac:dyDescent="0.35">
      <c r="A58" s="11" t="s">
        <v>553</v>
      </c>
    </row>
    <row r="59" spans="1:5" x14ac:dyDescent="0.35">
      <c r="A59" s="11" t="s">
        <v>554</v>
      </c>
    </row>
  </sheetData>
  <mergeCells count="6">
    <mergeCell ref="A34:E34"/>
    <mergeCell ref="A29:E29"/>
    <mergeCell ref="A30:E30"/>
    <mergeCell ref="A31:E31"/>
    <mergeCell ref="A32:E32"/>
    <mergeCell ref="A33:E3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F24"/>
  <sheetViews>
    <sheetView showGridLines="0" zoomScale="150" zoomScaleNormal="150" workbookViewId="0">
      <pane ySplit="3" topLeftCell="A4" activePane="bottomLeft" state="frozen"/>
      <selection pane="bottomLeft" activeCell="C17" sqref="C17"/>
    </sheetView>
  </sheetViews>
  <sheetFormatPr defaultColWidth="8.6328125" defaultRowHeight="14.5" x14ac:dyDescent="0.35"/>
  <cols>
    <col min="1" max="1" width="40" customWidth="1"/>
    <col min="2" max="5" width="14" customWidth="1"/>
    <col min="6" max="6" width="54" customWidth="1"/>
  </cols>
  <sheetData>
    <row r="1" spans="1:6" ht="18" customHeight="1" x14ac:dyDescent="0.4">
      <c r="A1" s="4" t="s">
        <v>555</v>
      </c>
    </row>
    <row r="2" spans="1:6" x14ac:dyDescent="0.35">
      <c r="A2" s="3" t="s">
        <v>556</v>
      </c>
    </row>
    <row r="4" spans="1:6" x14ac:dyDescent="0.35">
      <c r="A4" s="6" t="s">
        <v>557</v>
      </c>
      <c r="B4" s="52">
        <v>24.99</v>
      </c>
    </row>
    <row r="5" spans="1:6" x14ac:dyDescent="0.35">
      <c r="A5" s="6"/>
      <c r="B5" s="14"/>
    </row>
    <row r="6" spans="1:6" x14ac:dyDescent="0.35">
      <c r="A6" s="6"/>
      <c r="B6" s="14"/>
    </row>
    <row r="8" spans="1:6" ht="30" customHeight="1" x14ac:dyDescent="0.35">
      <c r="A8" s="12" t="s">
        <v>558</v>
      </c>
      <c r="B8" s="12" t="s">
        <v>559</v>
      </c>
      <c r="C8" s="12" t="s">
        <v>104</v>
      </c>
      <c r="D8" s="12" t="s">
        <v>560</v>
      </c>
      <c r="E8" s="12" t="s">
        <v>475</v>
      </c>
      <c r="F8" s="12" t="s">
        <v>561</v>
      </c>
    </row>
    <row r="9" spans="1:6" x14ac:dyDescent="0.35">
      <c r="A9" s="6" t="s">
        <v>562</v>
      </c>
      <c r="B9" s="18">
        <f>1-Assumptions!$B$66</f>
        <v>0.7</v>
      </c>
      <c r="C9" s="38">
        <f>$B$4-$B$4*Assumptions!$B$17-($B$4*Assumptions!$B$25+Assumptions!$B$9)</f>
        <v>21.516269999999999</v>
      </c>
      <c r="D9" s="42">
        <f>C9*B9</f>
        <v>15.061388999999998</v>
      </c>
      <c r="E9" s="47">
        <f>C9*Assumptions!$B$66-$B$4*Assumptions!$B$34</f>
        <v>3.8309309999999996</v>
      </c>
      <c r="F9" s="3" t="s">
        <v>563</v>
      </c>
    </row>
    <row r="10" spans="1:6" x14ac:dyDescent="0.35">
      <c r="A10" s="55" t="s">
        <v>564</v>
      </c>
      <c r="B10" s="23" t="s">
        <v>565</v>
      </c>
      <c r="C10" s="57"/>
      <c r="D10" s="86">
        <v>3000</v>
      </c>
      <c r="E10" s="58"/>
      <c r="F10" s="49" t="s">
        <v>566</v>
      </c>
    </row>
    <row r="11" spans="1:6" x14ac:dyDescent="0.35">
      <c r="A11" s="6"/>
      <c r="B11" s="13"/>
      <c r="D11" s="43"/>
      <c r="F11" s="3"/>
    </row>
    <row r="12" spans="1:6" x14ac:dyDescent="0.35">
      <c r="A12" s="6"/>
      <c r="B12" s="87"/>
      <c r="D12" s="20"/>
      <c r="F12" s="3"/>
    </row>
    <row r="14" spans="1:6" x14ac:dyDescent="0.35">
      <c r="A14" s="7" t="s">
        <v>567</v>
      </c>
    </row>
    <row r="15" spans="1:6" x14ac:dyDescent="0.35">
      <c r="A15" s="6" t="s">
        <v>568</v>
      </c>
      <c r="B15" s="83">
        <f>IF(D9=0,"n/a",3000/D9)</f>
        <v>199.18481622113342</v>
      </c>
    </row>
    <row r="16" spans="1:6" x14ac:dyDescent="0.35">
      <c r="A16" s="6"/>
      <c r="B16" s="83"/>
    </row>
    <row r="18" spans="1:1" x14ac:dyDescent="0.35">
      <c r="A18" s="8" t="s">
        <v>569</v>
      </c>
    </row>
    <row r="19" spans="1:1" x14ac:dyDescent="0.35">
      <c r="A19" s="11" t="s">
        <v>570</v>
      </c>
    </row>
    <row r="20" spans="1:1" x14ac:dyDescent="0.35">
      <c r="A20" s="11" t="s">
        <v>571</v>
      </c>
    </row>
    <row r="21" spans="1:1" x14ac:dyDescent="0.35">
      <c r="A21" s="11" t="s">
        <v>572</v>
      </c>
    </row>
    <row r="22" spans="1:1" x14ac:dyDescent="0.35">
      <c r="A22" s="11" t="s">
        <v>573</v>
      </c>
    </row>
    <row r="23" spans="1:1" x14ac:dyDescent="0.35">
      <c r="A23" s="11" t="s">
        <v>574</v>
      </c>
    </row>
    <row r="24" spans="1:1" x14ac:dyDescent="0.35">
      <c r="A24" s="11" t="s">
        <v>575</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8"/>
  <sheetViews>
    <sheetView showGridLines="0" zoomScale="140" zoomScaleNormal="140" workbookViewId="0">
      <pane ySplit="3" topLeftCell="A4" activePane="bottomLeft" state="frozen"/>
      <selection pane="bottomLeft" activeCell="A4" sqref="A4"/>
    </sheetView>
  </sheetViews>
  <sheetFormatPr defaultColWidth="8.6328125" defaultRowHeight="14.5" x14ac:dyDescent="0.35"/>
  <cols>
    <col min="1" max="1" width="40" customWidth="1"/>
    <col min="2" max="5" width="15" customWidth="1"/>
    <col min="6" max="6" width="52" customWidth="1"/>
  </cols>
  <sheetData>
    <row r="1" spans="1:6" ht="18" customHeight="1" x14ac:dyDescent="0.4">
      <c r="A1" s="4" t="s">
        <v>576</v>
      </c>
    </row>
    <row r="2" spans="1:6" x14ac:dyDescent="0.35">
      <c r="A2" s="3" t="s">
        <v>577</v>
      </c>
    </row>
    <row r="4" spans="1:6" x14ac:dyDescent="0.35">
      <c r="A4" s="6" t="s">
        <v>578</v>
      </c>
      <c r="B4" s="37">
        <v>40000</v>
      </c>
    </row>
    <row r="5" spans="1:6" x14ac:dyDescent="0.35">
      <c r="A5" s="6" t="s">
        <v>579</v>
      </c>
      <c r="B5" s="37">
        <v>34</v>
      </c>
    </row>
    <row r="6" spans="1:6" x14ac:dyDescent="0.35">
      <c r="A6" s="6" t="s">
        <v>580</v>
      </c>
      <c r="B6" s="60">
        <f>IF($B$5=0,0,$B$4/$B$5)</f>
        <v>1176.4705882352941</v>
      </c>
    </row>
    <row r="7" spans="1:6" x14ac:dyDescent="0.35">
      <c r="A7" s="7" t="s">
        <v>581</v>
      </c>
      <c r="B7" s="21">
        <f>$B$4-$B$4*Assumptions!$B$17-($B$4*Assumptions!$B$25+$B$6*Assumptions!$B$9)</f>
        <v>34567.058823529413</v>
      </c>
    </row>
    <row r="9" spans="1:6" ht="30" customHeight="1" x14ac:dyDescent="0.35">
      <c r="A9" s="12" t="s">
        <v>582</v>
      </c>
      <c r="B9" s="12" t="s">
        <v>583</v>
      </c>
      <c r="C9" s="12" t="s">
        <v>584</v>
      </c>
      <c r="D9" s="12" t="s">
        <v>585</v>
      </c>
      <c r="E9" s="12"/>
      <c r="F9" s="12" t="s">
        <v>84</v>
      </c>
    </row>
    <row r="10" spans="1:6" x14ac:dyDescent="0.35">
      <c r="A10" s="6" t="s">
        <v>586</v>
      </c>
      <c r="B10" s="13">
        <v>0.1</v>
      </c>
      <c r="C10" s="13">
        <v>0.2</v>
      </c>
      <c r="D10" s="13">
        <v>0.3</v>
      </c>
    </row>
    <row r="11" spans="1:6" x14ac:dyDescent="0.35">
      <c r="A11" s="6" t="s">
        <v>587</v>
      </c>
      <c r="B11" s="39">
        <f>$B$7*B10</f>
        <v>3456.7058823529414</v>
      </c>
      <c r="C11" s="39">
        <f>$B$7*C10</f>
        <v>6913.4117647058829</v>
      </c>
      <c r="D11" s="39">
        <f>$B$7*D10</f>
        <v>10370.117647058823</v>
      </c>
    </row>
    <row r="12" spans="1:6" x14ac:dyDescent="0.35">
      <c r="A12" s="6" t="s">
        <v>501</v>
      </c>
      <c r="B12" s="74">
        <f>-$B$4*Assumptions!$B$34</f>
        <v>-4200</v>
      </c>
      <c r="C12" s="74">
        <f>-$B$4*Assumptions!$B$34</f>
        <v>-4200</v>
      </c>
      <c r="D12" s="74">
        <f>-$B$4*Assumptions!$B$34</f>
        <v>-4200</v>
      </c>
    </row>
    <row r="13" spans="1:6" x14ac:dyDescent="0.35">
      <c r="A13" s="7" t="s">
        <v>588</v>
      </c>
      <c r="B13" s="21">
        <f>B11+B12</f>
        <v>-743.29411764705856</v>
      </c>
      <c r="C13" s="21">
        <f>C11+C12</f>
        <v>2713.4117647058829</v>
      </c>
      <c r="D13" s="21">
        <f>D11+D12</f>
        <v>6170.1176470588234</v>
      </c>
    </row>
    <row r="14" spans="1:6" x14ac:dyDescent="0.35">
      <c r="A14" s="6" t="s">
        <v>589</v>
      </c>
      <c r="B14" s="74">
        <f>-Assumptions!$B$49</f>
        <v>-3374.5</v>
      </c>
      <c r="C14" s="74">
        <f>-Assumptions!$B$49</f>
        <v>-3374.5</v>
      </c>
      <c r="D14" s="74">
        <f>-Assumptions!$B$49</f>
        <v>-3374.5</v>
      </c>
    </row>
    <row r="15" spans="1:6" x14ac:dyDescent="0.35">
      <c r="A15" s="7" t="s">
        <v>590</v>
      </c>
      <c r="B15" s="21">
        <f>B13+B14</f>
        <v>-4117.7941176470586</v>
      </c>
      <c r="C15" s="21">
        <f>C13+C14</f>
        <v>-661.08823529411711</v>
      </c>
      <c r="D15" s="21">
        <f>D13+D14</f>
        <v>2795.6176470588234</v>
      </c>
    </row>
    <row r="17" spans="1:6" x14ac:dyDescent="0.35">
      <c r="A17" s="5" t="s">
        <v>591</v>
      </c>
    </row>
    <row r="18" spans="1:6" ht="30" customHeight="1" x14ac:dyDescent="0.35">
      <c r="A18" s="12" t="s">
        <v>496</v>
      </c>
      <c r="B18" s="12" t="s">
        <v>156</v>
      </c>
      <c r="C18" s="12" t="s">
        <v>592</v>
      </c>
      <c r="D18" s="12" t="s">
        <v>593</v>
      </c>
      <c r="E18" s="12"/>
      <c r="F18" s="12" t="s">
        <v>285</v>
      </c>
    </row>
    <row r="19" spans="1:6" x14ac:dyDescent="0.35">
      <c r="A19" s="75" t="s">
        <v>594</v>
      </c>
      <c r="B19" s="76">
        <f>Assumptions!$B$53</f>
        <v>0.25</v>
      </c>
      <c r="C19" s="75" t="s">
        <v>595</v>
      </c>
      <c r="D19" s="88">
        <v>0.33</v>
      </c>
      <c r="E19" s="89"/>
      <c r="F19" s="90" t="s">
        <v>596</v>
      </c>
    </row>
    <row r="20" spans="1:6" x14ac:dyDescent="0.35">
      <c r="A20" s="6" t="s">
        <v>597</v>
      </c>
      <c r="B20" s="18">
        <f>Assumptions!$B$54</f>
        <v>0.2</v>
      </c>
      <c r="C20" s="6" t="s">
        <v>598</v>
      </c>
      <c r="D20" s="13">
        <v>0.28000000000000003</v>
      </c>
      <c r="F20" s="3" t="s">
        <v>599</v>
      </c>
    </row>
    <row r="21" spans="1:6" x14ac:dyDescent="0.35">
      <c r="A21" s="55" t="s">
        <v>600</v>
      </c>
      <c r="B21" s="56">
        <f>Assumptions!$B$55</f>
        <v>0.17</v>
      </c>
      <c r="C21" s="55" t="s">
        <v>601</v>
      </c>
      <c r="D21" s="91">
        <v>0.18</v>
      </c>
      <c r="E21" s="92"/>
      <c r="F21" s="49" t="s">
        <v>602</v>
      </c>
    </row>
    <row r="22" spans="1:6" x14ac:dyDescent="0.35">
      <c r="A22" s="6"/>
      <c r="B22" s="18"/>
      <c r="C22" s="6"/>
      <c r="D22" s="13"/>
      <c r="F22" s="3"/>
    </row>
    <row r="23" spans="1:6" x14ac:dyDescent="0.35">
      <c r="A23" s="75" t="s">
        <v>331</v>
      </c>
      <c r="B23" s="76">
        <f>Assumptions!$B$59</f>
        <v>0.05</v>
      </c>
      <c r="C23" s="75" t="s">
        <v>603</v>
      </c>
      <c r="D23" s="89"/>
      <c r="E23" s="89"/>
      <c r="F23" s="90" t="s">
        <v>604</v>
      </c>
    </row>
    <row r="24" spans="1:6" x14ac:dyDescent="0.35">
      <c r="A24" s="6" t="s">
        <v>605</v>
      </c>
      <c r="B24" s="18">
        <f>Assumptions!$B$60</f>
        <v>0.22</v>
      </c>
      <c r="C24" s="6" t="s">
        <v>606</v>
      </c>
      <c r="D24" s="13">
        <v>0.3</v>
      </c>
      <c r="F24" s="3" t="s">
        <v>607</v>
      </c>
    </row>
    <row r="25" spans="1:6" x14ac:dyDescent="0.35">
      <c r="A25" s="75" t="s">
        <v>608</v>
      </c>
      <c r="B25" s="76">
        <f>Assumptions!$B$61</f>
        <v>0.18</v>
      </c>
      <c r="C25" s="75" t="s">
        <v>609</v>
      </c>
      <c r="D25" s="88">
        <v>0.03</v>
      </c>
      <c r="E25" s="89"/>
      <c r="F25" s="90" t="s">
        <v>610</v>
      </c>
    </row>
    <row r="26" spans="1:6" x14ac:dyDescent="0.35">
      <c r="A26" s="6" t="s">
        <v>611</v>
      </c>
      <c r="B26" s="18">
        <f>Assumptions!$B$62</f>
        <v>0.5</v>
      </c>
      <c r="C26" s="6" t="s">
        <v>612</v>
      </c>
      <c r="D26" s="13">
        <v>0.63</v>
      </c>
      <c r="F26" s="3" t="s">
        <v>613</v>
      </c>
    </row>
    <row r="27" spans="1:6" x14ac:dyDescent="0.35">
      <c r="A27" s="75" t="s">
        <v>614</v>
      </c>
      <c r="B27" s="76">
        <f>Assumptions!$B$65</f>
        <v>0.5</v>
      </c>
      <c r="C27" s="75" t="s">
        <v>615</v>
      </c>
      <c r="D27" s="88">
        <v>0.15</v>
      </c>
      <c r="E27" s="89"/>
      <c r="F27" s="90" t="s">
        <v>616</v>
      </c>
    </row>
    <row r="28" spans="1:6" x14ac:dyDescent="0.35">
      <c r="A28" s="6" t="s">
        <v>617</v>
      </c>
      <c r="B28" s="18">
        <f>Assumptions!$B$66</f>
        <v>0.3</v>
      </c>
      <c r="C28" s="6" t="s">
        <v>618</v>
      </c>
      <c r="D28" s="13">
        <v>0.3</v>
      </c>
      <c r="F28" s="3" t="s">
        <v>619</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9"/>
  <sheetViews>
    <sheetView showGridLines="0" zoomScale="140" zoomScaleNormal="140" workbookViewId="0">
      <pane ySplit="3" topLeftCell="A9" activePane="bottomLeft" state="frozen"/>
      <selection pane="bottomLeft" activeCell="B19" sqref="B19"/>
    </sheetView>
  </sheetViews>
  <sheetFormatPr defaultColWidth="8.6328125" defaultRowHeight="14.5" x14ac:dyDescent="0.35"/>
  <cols>
    <col min="1" max="1" width="26" customWidth="1"/>
    <col min="2" max="2" width="54" customWidth="1"/>
    <col min="3" max="3" width="22" customWidth="1"/>
    <col min="4" max="4" width="58" customWidth="1"/>
  </cols>
  <sheetData>
    <row r="1" spans="1:4" ht="18" customHeight="1" x14ac:dyDescent="0.4">
      <c r="A1" s="4" t="s">
        <v>620</v>
      </c>
    </row>
    <row r="2" spans="1:4" x14ac:dyDescent="0.35">
      <c r="A2" s="3" t="s">
        <v>621</v>
      </c>
    </row>
    <row r="4" spans="1:4" ht="30" customHeight="1" x14ac:dyDescent="0.35">
      <c r="A4" s="12" t="s">
        <v>622</v>
      </c>
      <c r="B4" s="12" t="s">
        <v>623</v>
      </c>
      <c r="C4" s="12" t="s">
        <v>624</v>
      </c>
      <c r="D4" s="12" t="s">
        <v>625</v>
      </c>
    </row>
    <row r="5" spans="1:4" ht="30" customHeight="1" x14ac:dyDescent="0.35">
      <c r="A5" s="93" t="s">
        <v>626</v>
      </c>
      <c r="B5" s="94" t="s">
        <v>627</v>
      </c>
      <c r="C5" s="95" t="s">
        <v>628</v>
      </c>
      <c r="D5" s="80" t="s">
        <v>629</v>
      </c>
    </row>
    <row r="6" spans="1:4" ht="30" customHeight="1" x14ac:dyDescent="0.35">
      <c r="A6" s="62" t="s">
        <v>630</v>
      </c>
      <c r="B6" s="2" t="s">
        <v>631</v>
      </c>
      <c r="C6" s="96" t="s">
        <v>632</v>
      </c>
      <c r="D6" s="1" t="s">
        <v>633</v>
      </c>
    </row>
    <row r="7" spans="1:4" ht="30" customHeight="1" x14ac:dyDescent="0.35">
      <c r="A7" s="93" t="s">
        <v>634</v>
      </c>
      <c r="B7" s="94" t="s">
        <v>635</v>
      </c>
      <c r="C7" s="95" t="s">
        <v>636</v>
      </c>
      <c r="D7" s="80" t="s">
        <v>637</v>
      </c>
    </row>
    <row r="8" spans="1:4" ht="30" customHeight="1" x14ac:dyDescent="0.35">
      <c r="A8" s="62" t="s">
        <v>638</v>
      </c>
      <c r="B8" s="2" t="s">
        <v>639</v>
      </c>
      <c r="C8" s="96" t="s">
        <v>628</v>
      </c>
      <c r="D8" s="1" t="s">
        <v>640</v>
      </c>
    </row>
    <row r="9" spans="1:4" ht="30" customHeight="1" x14ac:dyDescent="0.35">
      <c r="A9" s="93" t="s">
        <v>606</v>
      </c>
      <c r="B9" s="94" t="s">
        <v>641</v>
      </c>
      <c r="C9" s="95" t="s">
        <v>605</v>
      </c>
      <c r="D9" s="80" t="s">
        <v>642</v>
      </c>
    </row>
    <row r="10" spans="1:4" ht="30" customHeight="1" x14ac:dyDescent="0.35">
      <c r="A10" s="62" t="s">
        <v>643</v>
      </c>
      <c r="B10" s="2" t="s">
        <v>644</v>
      </c>
      <c r="C10" s="96" t="s">
        <v>46</v>
      </c>
      <c r="D10" s="1" t="s">
        <v>645</v>
      </c>
    </row>
    <row r="11" spans="1:4" ht="30" customHeight="1" x14ac:dyDescent="0.35">
      <c r="A11" s="93" t="s">
        <v>646</v>
      </c>
      <c r="B11" s="94" t="s">
        <v>647</v>
      </c>
      <c r="C11" s="95" t="s">
        <v>48</v>
      </c>
      <c r="D11" s="80" t="s">
        <v>648</v>
      </c>
    </row>
    <row r="12" spans="1:4" ht="30" customHeight="1" x14ac:dyDescent="0.35">
      <c r="A12" s="62" t="s">
        <v>649</v>
      </c>
      <c r="B12" s="2" t="s">
        <v>650</v>
      </c>
      <c r="C12" s="96" t="s">
        <v>651</v>
      </c>
      <c r="D12" s="1" t="s">
        <v>652</v>
      </c>
    </row>
    <row r="13" spans="1:4" ht="30" customHeight="1" x14ac:dyDescent="0.35">
      <c r="A13" s="93" t="s">
        <v>618</v>
      </c>
      <c r="B13" s="94" t="s">
        <v>653</v>
      </c>
      <c r="C13" s="95" t="s">
        <v>654</v>
      </c>
      <c r="D13" s="80" t="s">
        <v>655</v>
      </c>
    </row>
    <row r="14" spans="1:4" ht="30" customHeight="1" x14ac:dyDescent="0.35">
      <c r="A14" s="62" t="s">
        <v>656</v>
      </c>
      <c r="B14" s="2" t="s">
        <v>657</v>
      </c>
      <c r="C14" s="96" t="s">
        <v>658</v>
      </c>
      <c r="D14" s="1" t="s">
        <v>659</v>
      </c>
    </row>
    <row r="15" spans="1:4" ht="30" customHeight="1" x14ac:dyDescent="0.35">
      <c r="A15" s="93" t="s">
        <v>660</v>
      </c>
      <c r="B15" s="94" t="s">
        <v>661</v>
      </c>
      <c r="C15" s="95" t="s">
        <v>662</v>
      </c>
      <c r="D15" s="80" t="s">
        <v>663</v>
      </c>
    </row>
    <row r="16" spans="1:4" ht="30" customHeight="1" x14ac:dyDescent="0.35">
      <c r="A16" s="62" t="s">
        <v>664</v>
      </c>
      <c r="B16" s="2" t="s">
        <v>665</v>
      </c>
      <c r="C16" s="96" t="s">
        <v>666</v>
      </c>
      <c r="D16" s="1" t="s">
        <v>667</v>
      </c>
    </row>
    <row r="17" spans="1:4" ht="30" customHeight="1" x14ac:dyDescent="0.35">
      <c r="A17" s="93" t="s">
        <v>668</v>
      </c>
      <c r="B17" s="94" t="s">
        <v>669</v>
      </c>
      <c r="C17" s="95" t="s">
        <v>622</v>
      </c>
      <c r="D17" s="80" t="s">
        <v>670</v>
      </c>
    </row>
    <row r="18" spans="1:4" ht="30" customHeight="1" x14ac:dyDescent="0.35">
      <c r="A18" s="62" t="s">
        <v>671</v>
      </c>
      <c r="B18" s="2" t="s">
        <v>672</v>
      </c>
      <c r="C18" s="96" t="s">
        <v>673</v>
      </c>
      <c r="D18" s="1" t="s">
        <v>674</v>
      </c>
    </row>
    <row r="19" spans="1:4" ht="30" customHeight="1" x14ac:dyDescent="0.35">
      <c r="A19" s="93" t="s">
        <v>675</v>
      </c>
      <c r="B19" s="94" t="s">
        <v>676</v>
      </c>
      <c r="C19" s="95" t="s">
        <v>677</v>
      </c>
      <c r="D19" s="80" t="s">
        <v>678</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8"/>
  <sheetViews>
    <sheetView zoomScaleNormal="100" workbookViewId="0"/>
  </sheetViews>
  <sheetFormatPr defaultColWidth="8.6328125" defaultRowHeight="14.5" x14ac:dyDescent="0.35"/>
  <cols>
    <col min="1" max="1" width="26" customWidth="1"/>
    <col min="2" max="2" width="20" customWidth="1"/>
    <col min="3" max="3" width="18" customWidth="1"/>
    <col min="4" max="4" width="20" customWidth="1"/>
    <col min="5" max="5" width="74" customWidth="1"/>
  </cols>
  <sheetData>
    <row r="1" spans="1:5" ht="16.5" customHeight="1" x14ac:dyDescent="0.35">
      <c r="A1" s="97" t="s">
        <v>679</v>
      </c>
    </row>
    <row r="2" spans="1:5" x14ac:dyDescent="0.35">
      <c r="A2" s="11" t="s">
        <v>680</v>
      </c>
    </row>
    <row r="4" spans="1:5" ht="27.75" customHeight="1" x14ac:dyDescent="0.35">
      <c r="A4" s="28" t="s">
        <v>681</v>
      </c>
      <c r="B4" s="28" t="s">
        <v>682</v>
      </c>
      <c r="C4" s="28" t="s">
        <v>683</v>
      </c>
      <c r="D4" s="28" t="s">
        <v>684</v>
      </c>
      <c r="E4" s="28" t="s">
        <v>217</v>
      </c>
    </row>
    <row r="5" spans="1:5" ht="33.75" customHeight="1" x14ac:dyDescent="0.35">
      <c r="A5" s="98" t="s">
        <v>685</v>
      </c>
      <c r="B5" s="99" t="s">
        <v>686</v>
      </c>
      <c r="C5" s="99" t="s">
        <v>687</v>
      </c>
      <c r="D5" s="99" t="s">
        <v>223</v>
      </c>
      <c r="E5" s="10" t="s">
        <v>688</v>
      </c>
    </row>
    <row r="6" spans="1:5" ht="33.75" customHeight="1" x14ac:dyDescent="0.35">
      <c r="A6" s="98" t="s">
        <v>689</v>
      </c>
      <c r="B6" s="99" t="s">
        <v>690</v>
      </c>
      <c r="C6" s="99" t="s">
        <v>687</v>
      </c>
      <c r="D6" s="99" t="s">
        <v>223</v>
      </c>
      <c r="E6" s="10" t="s">
        <v>691</v>
      </c>
    </row>
    <row r="7" spans="1:5" ht="33.75" customHeight="1" x14ac:dyDescent="0.35">
      <c r="A7" s="98" t="s">
        <v>692</v>
      </c>
      <c r="B7" s="99" t="s">
        <v>693</v>
      </c>
      <c r="C7" s="99" t="s">
        <v>694</v>
      </c>
      <c r="D7" s="99" t="s">
        <v>223</v>
      </c>
      <c r="E7" s="10" t="s">
        <v>695</v>
      </c>
    </row>
    <row r="8" spans="1:5" ht="33.75" customHeight="1" x14ac:dyDescent="0.35">
      <c r="A8" s="98" t="s">
        <v>696</v>
      </c>
      <c r="B8" s="99" t="s">
        <v>697</v>
      </c>
      <c r="C8" s="99" t="s">
        <v>698</v>
      </c>
      <c r="D8" s="99" t="s">
        <v>699</v>
      </c>
      <c r="E8" s="10" t="s">
        <v>700</v>
      </c>
    </row>
    <row r="9" spans="1:5" ht="33.75" customHeight="1" x14ac:dyDescent="0.35">
      <c r="A9" s="98" t="s">
        <v>701</v>
      </c>
      <c r="B9" s="99" t="s">
        <v>702</v>
      </c>
      <c r="C9" s="99" t="s">
        <v>703</v>
      </c>
      <c r="D9" s="99" t="s">
        <v>704</v>
      </c>
      <c r="E9" s="10" t="s">
        <v>229</v>
      </c>
    </row>
    <row r="10" spans="1:5" ht="33.75" customHeight="1" x14ac:dyDescent="0.35">
      <c r="A10" s="98" t="s">
        <v>705</v>
      </c>
      <c r="B10" s="99" t="s">
        <v>706</v>
      </c>
      <c r="C10" s="99" t="s">
        <v>707</v>
      </c>
      <c r="D10" s="99" t="s">
        <v>223</v>
      </c>
      <c r="E10" s="10" t="s">
        <v>708</v>
      </c>
    </row>
    <row r="11" spans="1:5" ht="33.75" customHeight="1" x14ac:dyDescent="0.35">
      <c r="A11" s="98" t="s">
        <v>709</v>
      </c>
      <c r="B11" s="99" t="s">
        <v>710</v>
      </c>
      <c r="C11" s="99" t="s">
        <v>698</v>
      </c>
      <c r="D11" s="99" t="s">
        <v>711</v>
      </c>
      <c r="E11" s="10" t="s">
        <v>712</v>
      </c>
    </row>
    <row r="12" spans="1:5" ht="33.75" customHeight="1" x14ac:dyDescent="0.35">
      <c r="A12" s="98" t="s">
        <v>713</v>
      </c>
      <c r="B12" s="99" t="s">
        <v>714</v>
      </c>
      <c r="C12" s="99" t="s">
        <v>711</v>
      </c>
      <c r="D12" s="99" t="s">
        <v>715</v>
      </c>
      <c r="E12" s="10" t="s">
        <v>716</v>
      </c>
    </row>
    <row r="13" spans="1:5" ht="33.75" customHeight="1" x14ac:dyDescent="0.35">
      <c r="A13" s="98" t="s">
        <v>306</v>
      </c>
      <c r="B13" s="99" t="s">
        <v>220</v>
      </c>
      <c r="C13" s="99" t="s">
        <v>717</v>
      </c>
      <c r="D13" s="99" t="s">
        <v>223</v>
      </c>
      <c r="E13" s="10" t="s">
        <v>718</v>
      </c>
    </row>
    <row r="15" spans="1:5" x14ac:dyDescent="0.35">
      <c r="A15" s="8" t="s">
        <v>719</v>
      </c>
    </row>
    <row r="16" spans="1:5" ht="27.75" customHeight="1" x14ac:dyDescent="0.35">
      <c r="A16" s="28"/>
      <c r="B16" s="28" t="s">
        <v>720</v>
      </c>
      <c r="C16" s="28"/>
      <c r="D16" s="28"/>
      <c r="E16" s="28" t="s">
        <v>721</v>
      </c>
    </row>
    <row r="17" spans="1:5" ht="60" customHeight="1" x14ac:dyDescent="0.35">
      <c r="A17" s="98" t="s">
        <v>722</v>
      </c>
      <c r="E17" s="10" t="s">
        <v>723</v>
      </c>
    </row>
    <row r="18" spans="1:5" ht="60" customHeight="1" x14ac:dyDescent="0.35">
      <c r="A18" s="98" t="s">
        <v>724</v>
      </c>
      <c r="E18" s="10" t="s">
        <v>725</v>
      </c>
    </row>
    <row r="20" spans="1:5" x14ac:dyDescent="0.35">
      <c r="A20" s="8" t="s">
        <v>726</v>
      </c>
    </row>
    <row r="21" spans="1:5" x14ac:dyDescent="0.35">
      <c r="A21" s="11" t="s">
        <v>727</v>
      </c>
    </row>
    <row r="22" spans="1:5" x14ac:dyDescent="0.35">
      <c r="A22" s="11" t="s">
        <v>728</v>
      </c>
    </row>
    <row r="23" spans="1:5" x14ac:dyDescent="0.35">
      <c r="A23" s="11" t="s">
        <v>729</v>
      </c>
    </row>
    <row r="24" spans="1:5" x14ac:dyDescent="0.35">
      <c r="A24" s="11" t="s">
        <v>730</v>
      </c>
    </row>
    <row r="25" spans="1:5" x14ac:dyDescent="0.35">
      <c r="A25" s="11" t="s">
        <v>731</v>
      </c>
    </row>
    <row r="27" spans="1:5" x14ac:dyDescent="0.35">
      <c r="A27" s="8" t="s">
        <v>732</v>
      </c>
    </row>
    <row r="28" spans="1:5" x14ac:dyDescent="0.35">
      <c r="A28" s="11" t="s">
        <v>733</v>
      </c>
    </row>
    <row r="29" spans="1:5" x14ac:dyDescent="0.35">
      <c r="A29" s="11" t="s">
        <v>734</v>
      </c>
    </row>
    <row r="30" spans="1:5" x14ac:dyDescent="0.35">
      <c r="A30" s="11" t="s">
        <v>735</v>
      </c>
    </row>
    <row r="31" spans="1:5" x14ac:dyDescent="0.35">
      <c r="A31" s="11" t="s">
        <v>736</v>
      </c>
    </row>
    <row r="34" spans="1:1" x14ac:dyDescent="0.35">
      <c r="A34" s="8" t="s">
        <v>737</v>
      </c>
    </row>
    <row r="35" spans="1:1" x14ac:dyDescent="0.35">
      <c r="A35" s="11" t="s">
        <v>738</v>
      </c>
    </row>
    <row r="36" spans="1:1" x14ac:dyDescent="0.35">
      <c r="A36" s="11" t="s">
        <v>739</v>
      </c>
    </row>
    <row r="37" spans="1:1" x14ac:dyDescent="0.35">
      <c r="A37" s="11" t="s">
        <v>740</v>
      </c>
    </row>
    <row r="38" spans="1:1" x14ac:dyDescent="0.35">
      <c r="A38" s="11" t="s">
        <v>741</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57"/>
  <sheetViews>
    <sheetView zoomScale="140" zoomScaleNormal="140" workbookViewId="0">
      <selection activeCell="B8" sqref="B8"/>
    </sheetView>
  </sheetViews>
  <sheetFormatPr defaultColWidth="8.6328125" defaultRowHeight="14.5" x14ac:dyDescent="0.35"/>
  <cols>
    <col min="1" max="1" width="8" customWidth="1"/>
    <col min="2" max="2" width="46" customWidth="1"/>
    <col min="3" max="3" width="40" customWidth="1"/>
    <col min="4" max="4" width="96" customWidth="1"/>
  </cols>
  <sheetData>
    <row r="1" spans="1:4" ht="16.5" customHeight="1" x14ac:dyDescent="0.35">
      <c r="A1" s="97" t="s">
        <v>742</v>
      </c>
    </row>
    <row r="2" spans="1:4" x14ac:dyDescent="0.35">
      <c r="A2" s="11" t="s">
        <v>743</v>
      </c>
    </row>
    <row r="3" spans="1:4" x14ac:dyDescent="0.35">
      <c r="A3" s="11" t="s">
        <v>744</v>
      </c>
    </row>
    <row r="4" spans="1:4" ht="30" customHeight="1" x14ac:dyDescent="0.35">
      <c r="A4" s="28" t="s">
        <v>745</v>
      </c>
      <c r="B4" s="28" t="s">
        <v>746</v>
      </c>
      <c r="C4" s="28" t="s">
        <v>747</v>
      </c>
      <c r="D4" s="28" t="s">
        <v>748</v>
      </c>
    </row>
    <row r="5" spans="1:4" ht="37.5" x14ac:dyDescent="0.35">
      <c r="A5" s="9" t="s">
        <v>749</v>
      </c>
      <c r="B5" s="99" t="s">
        <v>750</v>
      </c>
      <c r="C5" s="99" t="s">
        <v>751</v>
      </c>
      <c r="D5" s="10" t="s">
        <v>752</v>
      </c>
    </row>
    <row r="6" spans="1:4" ht="50" x14ac:dyDescent="0.35">
      <c r="A6" s="9" t="s">
        <v>753</v>
      </c>
      <c r="B6" s="99" t="s">
        <v>754</v>
      </c>
      <c r="C6" s="99" t="s">
        <v>755</v>
      </c>
      <c r="D6" s="10" t="s">
        <v>756</v>
      </c>
    </row>
    <row r="7" spans="1:4" ht="25" x14ac:dyDescent="0.35">
      <c r="A7" s="9" t="s">
        <v>757</v>
      </c>
      <c r="B7" s="99" t="s">
        <v>758</v>
      </c>
      <c r="C7" s="99" t="s">
        <v>759</v>
      </c>
      <c r="D7" s="10" t="s">
        <v>760</v>
      </c>
    </row>
    <row r="8" spans="1:4" ht="37.5" x14ac:dyDescent="0.35">
      <c r="A8" s="9" t="s">
        <v>761</v>
      </c>
      <c r="B8" s="99" t="s">
        <v>762</v>
      </c>
      <c r="C8" s="99" t="s">
        <v>763</v>
      </c>
      <c r="D8" s="10" t="s">
        <v>764</v>
      </c>
    </row>
    <row r="9" spans="1:4" ht="25" x14ac:dyDescent="0.35">
      <c r="A9" s="9" t="s">
        <v>765</v>
      </c>
      <c r="B9" s="99" t="s">
        <v>766</v>
      </c>
      <c r="C9" s="99" t="s">
        <v>270</v>
      </c>
      <c r="D9" s="10" t="s">
        <v>767</v>
      </c>
    </row>
    <row r="10" spans="1:4" ht="37.5" x14ac:dyDescent="0.35">
      <c r="A10" s="9" t="s">
        <v>768</v>
      </c>
      <c r="B10" s="99" t="s">
        <v>769</v>
      </c>
      <c r="C10" s="99" t="s">
        <v>770</v>
      </c>
      <c r="D10" s="10" t="s">
        <v>771</v>
      </c>
    </row>
    <row r="11" spans="1:4" x14ac:dyDescent="0.35">
      <c r="A11" s="9" t="s">
        <v>772</v>
      </c>
      <c r="B11" s="99" t="s">
        <v>773</v>
      </c>
      <c r="C11" s="99" t="s">
        <v>270</v>
      </c>
      <c r="D11" s="10" t="s">
        <v>774</v>
      </c>
    </row>
    <row r="13" spans="1:4" x14ac:dyDescent="0.35">
      <c r="A13" s="8" t="s">
        <v>775</v>
      </c>
    </row>
    <row r="14" spans="1:4" x14ac:dyDescent="0.35">
      <c r="A14" s="11" t="s">
        <v>776</v>
      </c>
    </row>
    <row r="15" spans="1:4" x14ac:dyDescent="0.35">
      <c r="A15" s="11" t="s">
        <v>777</v>
      </c>
    </row>
    <row r="16" spans="1:4" x14ac:dyDescent="0.35">
      <c r="A16" s="11" t="s">
        <v>778</v>
      </c>
    </row>
    <row r="17" spans="1:4" x14ac:dyDescent="0.35">
      <c r="A17" s="11" t="s">
        <v>779</v>
      </c>
    </row>
    <row r="18" spans="1:4" x14ac:dyDescent="0.35">
      <c r="A18" s="11" t="s">
        <v>780</v>
      </c>
    </row>
    <row r="19" spans="1:4" x14ac:dyDescent="0.35">
      <c r="A19" s="11" t="s">
        <v>781</v>
      </c>
    </row>
    <row r="20" spans="1:4" x14ac:dyDescent="0.35">
      <c r="A20" s="11" t="s">
        <v>782</v>
      </c>
    </row>
    <row r="21" spans="1:4" x14ac:dyDescent="0.35">
      <c r="A21" s="11" t="s">
        <v>783</v>
      </c>
    </row>
    <row r="22" spans="1:4" ht="18" customHeight="1" x14ac:dyDescent="0.35">
      <c r="A22" s="11" t="s">
        <v>784</v>
      </c>
    </row>
    <row r="23" spans="1:4" x14ac:dyDescent="0.35">
      <c r="A23" s="11" t="s">
        <v>785</v>
      </c>
    </row>
    <row r="24" spans="1:4" x14ac:dyDescent="0.35">
      <c r="A24" s="28" t="s">
        <v>745</v>
      </c>
      <c r="B24" s="28" t="s">
        <v>786</v>
      </c>
      <c r="C24" s="28" t="s">
        <v>747</v>
      </c>
      <c r="D24" s="28" t="s">
        <v>748</v>
      </c>
    </row>
    <row r="25" spans="1:4" ht="37.5" x14ac:dyDescent="0.35">
      <c r="A25" s="9" t="s">
        <v>749</v>
      </c>
      <c r="B25" s="99" t="s">
        <v>787</v>
      </c>
      <c r="C25" s="99" t="s">
        <v>788</v>
      </c>
      <c r="D25" s="10" t="s">
        <v>789</v>
      </c>
    </row>
    <row r="26" spans="1:4" ht="39" customHeight="1" x14ac:dyDescent="0.35">
      <c r="A26" s="9" t="s">
        <v>753</v>
      </c>
      <c r="B26" s="99" t="s">
        <v>790</v>
      </c>
      <c r="C26" s="99" t="s">
        <v>270</v>
      </c>
      <c r="D26" s="10" t="s">
        <v>791</v>
      </c>
    </row>
    <row r="27" spans="1:4" ht="25.5" customHeight="1" x14ac:dyDescent="0.35">
      <c r="A27" s="9" t="s">
        <v>757</v>
      </c>
      <c r="B27" s="99" t="s">
        <v>792</v>
      </c>
      <c r="C27" s="99" t="s">
        <v>793</v>
      </c>
      <c r="D27" s="10" t="s">
        <v>794</v>
      </c>
    </row>
    <row r="28" spans="1:4" ht="25.5" customHeight="1" x14ac:dyDescent="0.35">
      <c r="A28" s="9" t="s">
        <v>761</v>
      </c>
      <c r="B28" s="99" t="s">
        <v>795</v>
      </c>
      <c r="C28" s="99" t="s">
        <v>270</v>
      </c>
      <c r="D28" s="10" t="s">
        <v>796</v>
      </c>
    </row>
    <row r="29" spans="1:4" ht="39" customHeight="1" x14ac:dyDescent="0.35">
      <c r="A29" s="9" t="s">
        <v>765</v>
      </c>
      <c r="B29" s="99" t="s">
        <v>797</v>
      </c>
      <c r="C29" s="99" t="s">
        <v>798</v>
      </c>
      <c r="D29" s="10" t="s">
        <v>799</v>
      </c>
    </row>
    <row r="30" spans="1:4" ht="25.5" customHeight="1" x14ac:dyDescent="0.35">
      <c r="A30" s="9" t="s">
        <v>768</v>
      </c>
      <c r="B30" s="99" t="s">
        <v>800</v>
      </c>
      <c r="C30" s="99" t="s">
        <v>801</v>
      </c>
      <c r="D30" s="10" t="s">
        <v>802</v>
      </c>
    </row>
    <row r="31" spans="1:4" ht="25.5" customHeight="1" x14ac:dyDescent="0.35"/>
    <row r="32" spans="1:4" ht="25.5" customHeight="1" x14ac:dyDescent="0.35">
      <c r="A32" s="8" t="s">
        <v>803</v>
      </c>
    </row>
    <row r="33" spans="1:4" x14ac:dyDescent="0.35">
      <c r="A33" s="11" t="s">
        <v>804</v>
      </c>
    </row>
    <row r="34" spans="1:4" x14ac:dyDescent="0.35">
      <c r="A34" s="11" t="s">
        <v>805</v>
      </c>
    </row>
    <row r="35" spans="1:4" x14ac:dyDescent="0.35">
      <c r="A35" s="11" t="s">
        <v>806</v>
      </c>
    </row>
    <row r="36" spans="1:4" x14ac:dyDescent="0.35">
      <c r="A36" s="11" t="s">
        <v>807</v>
      </c>
    </row>
    <row r="37" spans="1:4" x14ac:dyDescent="0.35">
      <c r="A37" s="11" t="s">
        <v>808</v>
      </c>
    </row>
    <row r="38" spans="1:4" x14ac:dyDescent="0.35">
      <c r="A38" s="11" t="s">
        <v>809</v>
      </c>
    </row>
    <row r="39" spans="1:4" x14ac:dyDescent="0.35">
      <c r="A39" s="11" t="s">
        <v>810</v>
      </c>
    </row>
    <row r="42" spans="1:4" ht="18" x14ac:dyDescent="0.4">
      <c r="A42" s="4" t="s">
        <v>811</v>
      </c>
    </row>
    <row r="43" spans="1:4" x14ac:dyDescent="0.35">
      <c r="A43" s="3" t="s">
        <v>812</v>
      </c>
    </row>
    <row r="44" spans="1:4" x14ac:dyDescent="0.35">
      <c r="A44" s="11" t="s">
        <v>813</v>
      </c>
    </row>
    <row r="45" spans="1:4" x14ac:dyDescent="0.35">
      <c r="A45" s="12" t="s">
        <v>745</v>
      </c>
      <c r="B45" s="12" t="s">
        <v>814</v>
      </c>
      <c r="C45" s="12" t="s">
        <v>747</v>
      </c>
      <c r="D45" s="12" t="s">
        <v>748</v>
      </c>
    </row>
    <row r="46" spans="1:4" ht="39" x14ac:dyDescent="0.35">
      <c r="A46" s="100">
        <v>1</v>
      </c>
      <c r="B46" s="101" t="s">
        <v>815</v>
      </c>
      <c r="C46" s="2" t="s">
        <v>816</v>
      </c>
      <c r="D46" s="1" t="s">
        <v>817</v>
      </c>
    </row>
    <row r="47" spans="1:4" ht="26" x14ac:dyDescent="0.35">
      <c r="A47" s="100">
        <v>2</v>
      </c>
      <c r="B47" s="101" t="s">
        <v>818</v>
      </c>
      <c r="C47" s="2" t="s">
        <v>819</v>
      </c>
      <c r="D47" s="1" t="s">
        <v>820</v>
      </c>
    </row>
    <row r="48" spans="1:4" ht="26" x14ac:dyDescent="0.35">
      <c r="A48" s="100">
        <v>3</v>
      </c>
      <c r="B48" s="101" t="s">
        <v>821</v>
      </c>
      <c r="C48" s="2" t="s">
        <v>822</v>
      </c>
      <c r="D48" s="1" t="s">
        <v>823</v>
      </c>
    </row>
    <row r="49" spans="1:4" ht="39" x14ac:dyDescent="0.35">
      <c r="A49" s="100">
        <v>4</v>
      </c>
      <c r="B49" s="101" t="s">
        <v>824</v>
      </c>
      <c r="C49" s="2" t="s">
        <v>825</v>
      </c>
      <c r="D49" s="1" t="s">
        <v>826</v>
      </c>
    </row>
    <row r="50" spans="1:4" ht="26" x14ac:dyDescent="0.35">
      <c r="A50" s="100">
        <v>5</v>
      </c>
      <c r="B50" s="101" t="s">
        <v>827</v>
      </c>
      <c r="C50" s="2" t="s">
        <v>828</v>
      </c>
      <c r="D50" s="1" t="s">
        <v>829</v>
      </c>
    </row>
    <row r="51" spans="1:4" ht="26" x14ac:dyDescent="0.35">
      <c r="A51" s="100">
        <v>6</v>
      </c>
      <c r="B51" s="101" t="s">
        <v>830</v>
      </c>
      <c r="C51" s="2" t="s">
        <v>44</v>
      </c>
      <c r="D51" s="1" t="s">
        <v>831</v>
      </c>
    </row>
    <row r="52" spans="1:4" ht="26" x14ac:dyDescent="0.35">
      <c r="A52" s="100" t="s">
        <v>832</v>
      </c>
      <c r="B52" s="101" t="s">
        <v>833</v>
      </c>
      <c r="C52" s="2" t="s">
        <v>834</v>
      </c>
      <c r="D52" s="1" t="s">
        <v>835</v>
      </c>
    </row>
    <row r="54" spans="1:4" x14ac:dyDescent="0.35">
      <c r="A54" s="5" t="s">
        <v>836</v>
      </c>
    </row>
    <row r="55" spans="1:4" ht="14.25" customHeight="1" x14ac:dyDescent="0.35">
      <c r="A55" s="127" t="s">
        <v>837</v>
      </c>
      <c r="B55" s="127"/>
      <c r="C55" s="127"/>
      <c r="D55" s="127"/>
    </row>
    <row r="56" spans="1:4" ht="14.25" customHeight="1" x14ac:dyDescent="0.35">
      <c r="A56" s="127" t="s">
        <v>838</v>
      </c>
      <c r="B56" s="127"/>
      <c r="C56" s="127"/>
      <c r="D56" s="127"/>
    </row>
    <row r="57" spans="1:4" ht="14.25" customHeight="1" x14ac:dyDescent="0.35">
      <c r="A57" s="127" t="s">
        <v>839</v>
      </c>
      <c r="B57" s="127"/>
      <c r="C57" s="127"/>
      <c r="D57" s="127"/>
    </row>
  </sheetData>
  <mergeCells count="3">
    <mergeCell ref="A55:D55"/>
    <mergeCell ref="A56:D56"/>
    <mergeCell ref="A57:D57"/>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H28"/>
  <sheetViews>
    <sheetView zoomScale="120" zoomScaleNormal="120" workbookViewId="0">
      <selection activeCell="C12" sqref="C12"/>
    </sheetView>
  </sheetViews>
  <sheetFormatPr defaultColWidth="9.1796875" defaultRowHeight="14.5" x14ac:dyDescent="0.35"/>
  <cols>
    <col min="1" max="1" width="7.54296875" style="102" customWidth="1"/>
    <col min="2" max="2" width="10.1796875" style="103" customWidth="1"/>
    <col min="3" max="3" width="51.81640625" style="102" customWidth="1"/>
    <col min="4" max="4" width="12.453125" style="102" customWidth="1"/>
    <col min="5" max="5" width="15.453125" style="102" customWidth="1"/>
    <col min="6" max="7" width="27.453125" style="102" customWidth="1"/>
    <col min="8" max="8" width="44.81640625" style="102" customWidth="1"/>
    <col min="9" max="16384" width="9.1796875" style="102"/>
  </cols>
  <sheetData>
    <row r="1" spans="2:8" ht="25.5" customHeight="1" x14ac:dyDescent="0.6">
      <c r="B1" s="104" t="s">
        <v>840</v>
      </c>
      <c r="F1" s="105" t="s">
        <v>841</v>
      </c>
      <c r="G1" s="106">
        <f>COUNTIFS(G6:G2973,"{Please fill in}")</f>
        <v>21</v>
      </c>
    </row>
    <row r="2" spans="2:8" x14ac:dyDescent="0.35">
      <c r="F2" s="107" t="s">
        <v>842</v>
      </c>
      <c r="G2" s="108">
        <f>COUNTIFS(G6:G2973,"In Progress*")</f>
        <v>0</v>
      </c>
    </row>
    <row r="3" spans="2:8" x14ac:dyDescent="0.35">
      <c r="F3" s="109" t="s">
        <v>843</v>
      </c>
      <c r="G3" s="110">
        <f>COUNTIFS(G6:G2973,"Completed")</f>
        <v>0</v>
      </c>
    </row>
    <row r="4" spans="2:8" x14ac:dyDescent="0.35">
      <c r="F4" s="111" t="s">
        <v>844</v>
      </c>
      <c r="G4" s="112">
        <f>COUNTIFS(G6:G2973,"Postponed")</f>
        <v>0</v>
      </c>
    </row>
    <row r="5" spans="2:8" x14ac:dyDescent="0.35">
      <c r="F5" s="113" t="s">
        <v>845</v>
      </c>
      <c r="G5" s="114">
        <f>COUNTIFS(G6:G2973,"????")</f>
        <v>0</v>
      </c>
    </row>
    <row r="6" spans="2:8" x14ac:dyDescent="0.35">
      <c r="B6" s="115" t="s">
        <v>846</v>
      </c>
      <c r="C6" s="115" t="s">
        <v>847</v>
      </c>
      <c r="D6" s="115" t="s">
        <v>848</v>
      </c>
      <c r="E6" s="116" t="s">
        <v>849</v>
      </c>
      <c r="F6" s="115" t="s">
        <v>850</v>
      </c>
      <c r="G6" s="115" t="s">
        <v>851</v>
      </c>
      <c r="H6" s="115" t="s">
        <v>852</v>
      </c>
    </row>
    <row r="7" spans="2:8" ht="25.5" customHeight="1" x14ac:dyDescent="0.35">
      <c r="B7" s="117">
        <v>46271</v>
      </c>
      <c r="C7" s="118" t="s">
        <v>853</v>
      </c>
      <c r="D7" s="119"/>
      <c r="E7" s="120"/>
      <c r="F7" s="121" t="s">
        <v>854</v>
      </c>
      <c r="G7" s="121" t="s">
        <v>855</v>
      </c>
      <c r="H7" s="122"/>
    </row>
    <row r="8" spans="2:8" ht="25.5" customHeight="1" x14ac:dyDescent="0.35">
      <c r="B8" s="117">
        <v>46271</v>
      </c>
      <c r="C8" s="118" t="s">
        <v>856</v>
      </c>
      <c r="D8" s="119"/>
      <c r="E8" s="120"/>
      <c r="F8" s="121" t="s">
        <v>857</v>
      </c>
      <c r="G8" s="121" t="s">
        <v>855</v>
      </c>
      <c r="H8" s="122"/>
    </row>
    <row r="9" spans="2:8" x14ac:dyDescent="0.35">
      <c r="B9" s="117"/>
      <c r="C9" s="123"/>
      <c r="D9" s="124"/>
      <c r="E9" s="125"/>
      <c r="F9" s="121" t="s">
        <v>855</v>
      </c>
      <c r="G9" s="121" t="s">
        <v>855</v>
      </c>
      <c r="H9" s="122"/>
    </row>
    <row r="10" spans="2:8" x14ac:dyDescent="0.35">
      <c r="B10" s="117"/>
      <c r="C10" s="123"/>
      <c r="D10" s="124"/>
      <c r="E10" s="125"/>
      <c r="F10" s="121" t="s">
        <v>855</v>
      </c>
      <c r="G10" s="121" t="s">
        <v>855</v>
      </c>
      <c r="H10" s="122"/>
    </row>
    <row r="11" spans="2:8" x14ac:dyDescent="0.35">
      <c r="B11" s="117"/>
      <c r="C11" s="123"/>
      <c r="D11" s="124"/>
      <c r="E11" s="125"/>
      <c r="F11" s="121" t="s">
        <v>855</v>
      </c>
      <c r="G11" s="121" t="s">
        <v>855</v>
      </c>
      <c r="H11" s="122"/>
    </row>
    <row r="12" spans="2:8" x14ac:dyDescent="0.35">
      <c r="B12" s="117"/>
      <c r="C12" s="123"/>
      <c r="D12" s="124"/>
      <c r="E12" s="125"/>
      <c r="F12" s="121" t="s">
        <v>855</v>
      </c>
      <c r="G12" s="121" t="s">
        <v>855</v>
      </c>
      <c r="H12" s="122"/>
    </row>
    <row r="13" spans="2:8" x14ac:dyDescent="0.35">
      <c r="B13" s="117"/>
      <c r="C13" s="123"/>
      <c r="D13" s="124"/>
      <c r="E13" s="125"/>
      <c r="F13" s="121" t="s">
        <v>855</v>
      </c>
      <c r="G13" s="121" t="s">
        <v>855</v>
      </c>
      <c r="H13" s="122"/>
    </row>
    <row r="14" spans="2:8" x14ac:dyDescent="0.35">
      <c r="B14" s="117"/>
      <c r="C14" s="123"/>
      <c r="D14" s="124"/>
      <c r="E14" s="125"/>
      <c r="F14" s="121" t="s">
        <v>855</v>
      </c>
      <c r="G14" s="121" t="s">
        <v>855</v>
      </c>
      <c r="H14" s="122"/>
    </row>
    <row r="15" spans="2:8" x14ac:dyDescent="0.35">
      <c r="B15" s="117"/>
      <c r="C15" s="123"/>
      <c r="D15" s="124"/>
      <c r="E15" s="125"/>
      <c r="F15" s="121" t="s">
        <v>855</v>
      </c>
      <c r="G15" s="121" t="s">
        <v>855</v>
      </c>
      <c r="H15" s="122"/>
    </row>
    <row r="16" spans="2:8" x14ac:dyDescent="0.35">
      <c r="B16" s="117"/>
      <c r="C16" s="123"/>
      <c r="D16" s="124"/>
      <c r="E16" s="125"/>
      <c r="F16" s="121" t="s">
        <v>855</v>
      </c>
      <c r="G16" s="121" t="s">
        <v>855</v>
      </c>
      <c r="H16" s="122"/>
    </row>
    <row r="17" spans="2:8" x14ac:dyDescent="0.35">
      <c r="B17" s="117"/>
      <c r="C17" s="123"/>
      <c r="D17" s="124"/>
      <c r="E17" s="125"/>
      <c r="F17" s="121" t="s">
        <v>855</v>
      </c>
      <c r="G17" s="121" t="s">
        <v>855</v>
      </c>
      <c r="H17" s="122"/>
    </row>
    <row r="18" spans="2:8" x14ac:dyDescent="0.35">
      <c r="B18" s="117"/>
      <c r="C18" s="123"/>
      <c r="D18" s="124"/>
      <c r="E18" s="125"/>
      <c r="F18" s="121" t="s">
        <v>855</v>
      </c>
      <c r="G18" s="121" t="s">
        <v>855</v>
      </c>
      <c r="H18" s="122"/>
    </row>
    <row r="19" spans="2:8" x14ac:dyDescent="0.35">
      <c r="B19" s="117"/>
      <c r="C19" s="123"/>
      <c r="D19" s="124"/>
      <c r="E19" s="125"/>
      <c r="F19" s="121" t="s">
        <v>855</v>
      </c>
      <c r="G19" s="121" t="s">
        <v>855</v>
      </c>
      <c r="H19" s="122"/>
    </row>
    <row r="20" spans="2:8" x14ac:dyDescent="0.35">
      <c r="B20" s="117"/>
      <c r="C20" s="123"/>
      <c r="D20" s="124"/>
      <c r="E20" s="125"/>
      <c r="F20" s="121" t="s">
        <v>855</v>
      </c>
      <c r="G20" s="121" t="s">
        <v>855</v>
      </c>
      <c r="H20" s="122"/>
    </row>
    <row r="21" spans="2:8" x14ac:dyDescent="0.35">
      <c r="B21" s="117"/>
      <c r="C21" s="123"/>
      <c r="D21" s="124"/>
      <c r="E21" s="125"/>
      <c r="F21" s="121" t="s">
        <v>855</v>
      </c>
      <c r="G21" s="121" t="s">
        <v>855</v>
      </c>
      <c r="H21" s="122"/>
    </row>
    <row r="22" spans="2:8" x14ac:dyDescent="0.35">
      <c r="B22" s="117"/>
      <c r="C22" s="123"/>
      <c r="D22" s="124"/>
      <c r="E22" s="125"/>
      <c r="F22" s="121" t="s">
        <v>855</v>
      </c>
      <c r="G22" s="121" t="s">
        <v>855</v>
      </c>
      <c r="H22" s="122"/>
    </row>
    <row r="23" spans="2:8" x14ac:dyDescent="0.35">
      <c r="B23" s="117"/>
      <c r="C23" s="123"/>
      <c r="D23" s="124"/>
      <c r="E23" s="125"/>
      <c r="F23" s="121" t="s">
        <v>855</v>
      </c>
      <c r="G23" s="121" t="s">
        <v>855</v>
      </c>
      <c r="H23" s="122"/>
    </row>
    <row r="24" spans="2:8" x14ac:dyDescent="0.35">
      <c r="B24" s="117"/>
      <c r="C24" s="123"/>
      <c r="D24" s="124"/>
      <c r="E24" s="125"/>
      <c r="F24" s="121" t="s">
        <v>855</v>
      </c>
      <c r="G24" s="121" t="s">
        <v>855</v>
      </c>
      <c r="H24" s="122"/>
    </row>
    <row r="25" spans="2:8" x14ac:dyDescent="0.35">
      <c r="B25" s="117"/>
      <c r="C25" s="123"/>
      <c r="D25" s="124"/>
      <c r="E25" s="125"/>
      <c r="F25" s="121" t="s">
        <v>855</v>
      </c>
      <c r="G25" s="121" t="s">
        <v>855</v>
      </c>
      <c r="H25" s="122"/>
    </row>
    <row r="26" spans="2:8" x14ac:dyDescent="0.35">
      <c r="B26" s="117"/>
      <c r="C26" s="123"/>
      <c r="D26" s="124"/>
      <c r="E26" s="125"/>
      <c r="F26" s="121" t="s">
        <v>855</v>
      </c>
      <c r="G26" s="121" t="s">
        <v>855</v>
      </c>
      <c r="H26" s="122"/>
    </row>
    <row r="27" spans="2:8" x14ac:dyDescent="0.35">
      <c r="B27" s="117"/>
      <c r="C27" s="123"/>
      <c r="D27" s="124"/>
      <c r="E27" s="125"/>
      <c r="F27" s="121" t="s">
        <v>855</v>
      </c>
      <c r="G27" s="121" t="s">
        <v>855</v>
      </c>
      <c r="H27" s="122"/>
    </row>
    <row r="28" spans="2:8" x14ac:dyDescent="0.35">
      <c r="B28" s="117"/>
      <c r="C28" s="123"/>
      <c r="D28" s="124"/>
      <c r="E28" s="125"/>
      <c r="F28" s="121"/>
      <c r="G28" s="121"/>
      <c r="H28" s="122"/>
    </row>
  </sheetData>
  <autoFilter ref="B6:H16" xr:uid="{00000000-0009-0000-0000-00000F000000}"/>
  <conditionalFormatting sqref="F5">
    <cfRule type="containsText" dxfId="11" priority="11" operator="containsText" text="Postponed">
      <formula>NOT(ISERROR(SEARCH("Postponed",F5)))</formula>
    </cfRule>
    <cfRule type="cellIs" dxfId="10" priority="12" operator="equal">
      <formula>"Closed"</formula>
    </cfRule>
    <cfRule type="containsText" dxfId="9" priority="13" operator="containsText" text="In-Progress">
      <formula>NOT(ISERROR(SEARCH("In-Progress",F5)))</formula>
    </cfRule>
    <cfRule type="cellIs" dxfId="8" priority="14" operator="equal">
      <formula>"Open"</formula>
    </cfRule>
  </conditionalFormatting>
  <conditionalFormatting sqref="F6:G6 F29:G1048576">
    <cfRule type="containsText" dxfId="7" priority="7" operator="containsText" text="Closed">
      <formula>NOT(ISERROR(SEARCH("Closed",F6)))</formula>
    </cfRule>
    <cfRule type="containsText" dxfId="6" priority="8" operator="containsText" text="In-Progress">
      <formula>NOT(ISERROR(SEARCH("In-Progress",F6)))</formula>
    </cfRule>
    <cfRule type="containsText" dxfId="5" priority="9" operator="containsText" text="Open">
      <formula>NOT(ISERROR(SEARCH("Open",F6)))</formula>
    </cfRule>
  </conditionalFormatting>
  <conditionalFormatting sqref="F7:G28">
    <cfRule type="containsText" dxfId="4" priority="2" operator="containsText" text="{please fill in}">
      <formula>NOT(ISERROR(SEARCH("{please fill in}",F7)))</formula>
    </cfRule>
    <cfRule type="containsText" dxfId="3" priority="3" operator="containsText" text="Critical">
      <formula>NOT(ISERROR(SEARCH("Critical",F7)))</formula>
    </cfRule>
    <cfRule type="containsText" dxfId="2" priority="4" operator="containsText" text="High">
      <formula>NOT(ISERROR(SEARCH("High",F7)))</formula>
    </cfRule>
    <cfRule type="containsText" dxfId="1" priority="5" operator="containsText" text="Medium">
      <formula>NOT(ISERROR(SEARCH("Medium",F7)))</formula>
    </cfRule>
    <cfRule type="containsText" dxfId="0" priority="6" operator="containsText" text="Low">
      <formula>NOT(ISERROR(SEARCH("Low",F7)))</formula>
    </cfRule>
  </conditionalFormatting>
  <conditionalFormatting sqref="G1:G5">
    <cfRule type="dataBar" priority="10">
      <dataBar>
        <cfvo type="min"/>
        <cfvo type="max"/>
        <color rgb="FF63C384"/>
      </dataBar>
      <extLst>
        <ext xmlns:x14="http://schemas.microsoft.com/office/spreadsheetml/2009/9/main" uri="{B025F937-C7B1-47D3-B67F-A62EFF666E3E}">
          <x14:id>{3EC81D6B-24A1-4E7A-A281-47004AD5E02D}</x14:id>
        </ext>
      </extLst>
    </cfRule>
  </conditionalFormatting>
  <dataValidations count="2">
    <dataValidation type="list" allowBlank="1" showInputMessage="1" showErrorMessage="1" sqref="G7:G27" xr:uid="{00000000-0002-0000-0F00-000000000000}">
      <formula1>"{Please fill in},In Progress-25%,In Progress-50%,In Progress-75%,Re-Open,Completed,Blocked,Postponed,NA,????"</formula1>
      <formula2>0</formula2>
    </dataValidation>
    <dataValidation type="list" allowBlank="1" showInputMessage="1" showErrorMessage="1" sqref="F7:F27" xr:uid="{00000000-0002-0000-0F00-000001000000}">
      <formula1>"{Please fill in},4. Low,3. Medium,2. High,1. Critical,NA"</formula1>
      <formula2>0</formula2>
    </dataValidation>
  </dataValidations>
  <pageMargins left="0.7" right="0.7" top="0.75" bottom="0.75" header="0.511811023622047" footer="0.511811023622047"/>
  <pageSetup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3EC81D6B-24A1-4E7A-A281-47004AD5E02D}">
            <x14:dataBar gradient="0">
              <x14:cfvo type="autoMin"/>
              <x14:cfvo type="autoMax"/>
              <x14:negativeFillColor rgb="FFFF0000"/>
              <x14:axisColor rgb="FF000000"/>
            </x14:dataBar>
          </x14:cfRule>
          <xm:sqref>G1:G5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Assumptions</vt:lpstr>
      <vt:lpstr>Price List</vt:lpstr>
      <vt:lpstr>Subscription Scope</vt:lpstr>
      <vt:lpstr>Payment Economics</vt:lpstr>
      <vt:lpstr>1-on-1 Tutoring</vt:lpstr>
      <vt:lpstr>Lesson Packages</vt:lpstr>
      <vt:lpstr>Group Classes</vt:lpstr>
      <vt:lpstr>Courses</vt:lpstr>
      <vt:lpstr>Subscription</vt:lpstr>
      <vt:lpstr>Books &amp; Authors</vt:lpstr>
      <vt:lpstr>Take Rate Compare</vt:lpstr>
      <vt:lpstr>Benchmarks</vt:lpstr>
      <vt:lpstr>Refunds &amp; Payouts</vt:lpstr>
      <vt:lpstr>Change Log</vt:lpstr>
      <vt:lpstr>Action Item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Mohammad Islam</cp:lastModifiedBy>
  <cp:revision>0</cp:revision>
  <dcterms:created xsi:type="dcterms:W3CDTF">2026-09-06T21:38:48Z</dcterms:created>
  <dcterms:modified xsi:type="dcterms:W3CDTF">2026-09-09T01:46:42Z</dcterms:modified>
  <dc:language>en-US</dc:language>
</cp:coreProperties>
</file>